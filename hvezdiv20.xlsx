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esktop\maturita komplet\hvezdiv20\"/>
    </mc:Choice>
  </mc:AlternateContent>
  <xr:revisionPtr revIDLastSave="0" documentId="13_ncr:1_{BFFE0FB8-F73A-4254-8301-9D458E15FDBD}" xr6:coauthVersionLast="47" xr6:coauthVersionMax="47" xr10:uidLastSave="{00000000-0000-0000-0000-000000000000}"/>
  <bookViews>
    <workbookView xWindow="28680" yWindow="-120" windowWidth="29040" windowHeight="15720" tabRatio="500" activeTab="1" xr2:uid="{00000000-000D-0000-FFFF-FFFF00000000}"/>
  </bookViews>
  <sheets>
    <sheet name="souhrn" sheetId="1" r:id="rId1"/>
    <sheet name="náklady – materiál" sheetId="2" r:id="rId2"/>
    <sheet name="říjen" sheetId="3" r:id="rId3"/>
    <sheet name="listopad" sheetId="4" r:id="rId4"/>
    <sheet name="prosinec" sheetId="5" r:id="rId5"/>
    <sheet name="leden" sheetId="6" r:id="rId6"/>
    <sheet name="únor" sheetId="7" r:id="rId7"/>
    <sheet name="březen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3" i="7" l="1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D57" i="8" l="1"/>
  <c r="C57" i="8"/>
  <c r="D36" i="8"/>
  <c r="C36" i="8"/>
  <c r="B5" i="8"/>
  <c r="R1" i="8"/>
  <c r="D57" i="7"/>
  <c r="C57" i="7"/>
  <c r="D36" i="7"/>
  <c r="C36" i="7"/>
  <c r="B32" i="7"/>
  <c r="B31" i="7"/>
  <c r="B30" i="7"/>
  <c r="B29" i="7"/>
  <c r="B28" i="7"/>
  <c r="B27" i="7"/>
  <c r="B26" i="7"/>
  <c r="B25" i="7"/>
  <c r="B24" i="7"/>
  <c r="B23" i="7"/>
  <c r="B22" i="7"/>
  <c r="B21" i="7"/>
  <c r="B20" i="7"/>
  <c r="B19" i="7"/>
  <c r="B18" i="7"/>
  <c r="B17" i="7"/>
  <c r="B16" i="7"/>
  <c r="B15" i="7"/>
  <c r="B14" i="7"/>
  <c r="B13" i="7"/>
  <c r="B12" i="7"/>
  <c r="B11" i="7"/>
  <c r="B10" i="7"/>
  <c r="B9" i="7"/>
  <c r="B8" i="7"/>
  <c r="B7" i="7"/>
  <c r="B6" i="7"/>
  <c r="B5" i="7"/>
  <c r="R1" i="7"/>
  <c r="D57" i="6"/>
  <c r="C57" i="6"/>
  <c r="D36" i="6"/>
  <c r="C36" i="6"/>
  <c r="B35" i="6"/>
  <c r="B34" i="6"/>
  <c r="B33" i="6"/>
  <c r="B32" i="6"/>
  <c r="B31" i="6"/>
  <c r="B30" i="6"/>
  <c r="B29" i="6"/>
  <c r="B28" i="6"/>
  <c r="B27" i="6"/>
  <c r="B26" i="6"/>
  <c r="B25" i="6"/>
  <c r="B24" i="6"/>
  <c r="B23" i="6"/>
  <c r="B22" i="6"/>
  <c r="B21" i="6"/>
  <c r="B20" i="6"/>
  <c r="B19" i="6"/>
  <c r="B18" i="6"/>
  <c r="B17" i="6"/>
  <c r="B16" i="6"/>
  <c r="B15" i="6"/>
  <c r="B14" i="6"/>
  <c r="B13" i="6"/>
  <c r="B12" i="6"/>
  <c r="B11" i="6"/>
  <c r="B10" i="6"/>
  <c r="B9" i="6"/>
  <c r="B8" i="6"/>
  <c r="B7" i="6"/>
  <c r="B6" i="6"/>
  <c r="B5" i="6"/>
  <c r="R1" i="6"/>
  <c r="D57" i="5"/>
  <c r="C57" i="5"/>
  <c r="D36" i="5"/>
  <c r="C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R1" i="5"/>
  <c r="D57" i="4"/>
  <c r="C57" i="4"/>
  <c r="D36" i="4"/>
  <c r="C36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R1" i="4"/>
  <c r="D57" i="3"/>
  <c r="C57" i="3"/>
  <c r="D36" i="3"/>
  <c r="B12" i="1" s="1"/>
  <c r="C36" i="3"/>
  <c r="R1" i="3"/>
  <c r="E48" i="2"/>
  <c r="B18" i="1" s="1"/>
  <c r="D48" i="2"/>
  <c r="A18" i="1" s="1"/>
  <c r="B23" i="1" s="1"/>
  <c r="B24" i="1"/>
  <c r="F11" i="1"/>
  <c r="C11" i="1"/>
  <c r="B11" i="1"/>
  <c r="F9" i="1"/>
  <c r="E9" i="1"/>
  <c r="F7" i="1"/>
  <c r="E7" i="1"/>
  <c r="F6" i="1"/>
  <c r="F12" i="1" s="1"/>
  <c r="F14" i="1" s="1"/>
  <c r="B22" i="1" s="1"/>
  <c r="E6" i="1"/>
  <c r="E12" i="1" s="1"/>
  <c r="C12" i="1"/>
  <c r="C14" i="1" s="1"/>
  <c r="B21" i="1" s="1"/>
  <c r="R1" i="1"/>
  <c r="B25" i="1" l="1"/>
</calcChain>
</file>

<file path=xl/sharedStrings.xml><?xml version="1.0" encoding="utf-8"?>
<sst xmlns="http://schemas.openxmlformats.org/spreadsheetml/2006/main" count="191" uniqueCount="66">
  <si>
    <t>Souhrnný výkaz – maturitní projekt</t>
  </si>
  <si>
    <t>mzdové náklady</t>
  </si>
  <si>
    <t>Zaměstnanec (žák)</t>
  </si>
  <si>
    <t>Konzultant</t>
  </si>
  <si>
    <t>měsíc</t>
  </si>
  <si>
    <t>odpracováno dnů</t>
  </si>
  <si>
    <t>odpracováno hodin</t>
  </si>
  <si>
    <t>říjen</t>
  </si>
  <si>
    <t>listopad</t>
  </si>
  <si>
    <t>prosinec</t>
  </si>
  <si>
    <t xml:space="preserve">leden </t>
  </si>
  <si>
    <t>únor</t>
  </si>
  <si>
    <t>březen</t>
  </si>
  <si>
    <t>celkem</t>
  </si>
  <si>
    <t>mzda – hodinová</t>
  </si>
  <si>
    <t>Kč</t>
  </si>
  <si>
    <t>celkem mzda</t>
  </si>
  <si>
    <t>Náklady</t>
  </si>
  <si>
    <t>materiál - nakoupený</t>
  </si>
  <si>
    <t>materiál - virtuální</t>
  </si>
  <si>
    <t>Celkové náklady</t>
  </si>
  <si>
    <t>Konzultanti</t>
  </si>
  <si>
    <t>Náklady – materiál</t>
  </si>
  <si>
    <t>Náklady – strojní</t>
  </si>
  <si>
    <t>Datum a podpis:</t>
  </si>
  <si>
    <t>Seznam nakoupeného (darovaného) materiálu</t>
  </si>
  <si>
    <t>datum</t>
  </si>
  <si>
    <t>položka</t>
  </si>
  <si>
    <t>ks</t>
  </si>
  <si>
    <t xml:space="preserve"> celková cena (vč. DPH)</t>
  </si>
  <si>
    <t>cena virtuální (vč. DPH)</t>
  </si>
  <si>
    <t>Legenda:</t>
  </si>
  <si>
    <t xml:space="preserve">U darovaného, či jinak bezplatně získaného materiálu do ceny uvádějte 0. </t>
  </si>
  <si>
    <t>U stejných položek pak uveďte cenu odhadem, či dle eshopu, atd. do položky virtuální cena.</t>
  </si>
  <si>
    <t>Elektro obory:</t>
  </si>
  <si>
    <t>Týká se všech součástek, kabelů, mech. dílů pro zhotovení projektu</t>
  </si>
  <si>
    <t>IT obory:</t>
  </si>
  <si>
    <t xml:space="preserve">Týká se všech zařízení použitých v projektu, vč. nacenění HW u prací zaměřených na sítě. </t>
  </si>
  <si>
    <t>Týká se všech objektů bezplatných i kupovaných např. do 3D grafických programů, pluginů, šablon, fontů, atd.</t>
  </si>
  <si>
    <t>Strojní obory:</t>
  </si>
  <si>
    <t>Týká se všech nástrojů či strojů potřebných pro výrobu součástí, pro kterou je vypracován technologický postup.</t>
  </si>
  <si>
    <t>Pracovní výkaz za měsíc</t>
  </si>
  <si>
    <t>den</t>
  </si>
  <si>
    <t>náplň práce (stručně)</t>
  </si>
  <si>
    <t>jméno</t>
  </si>
  <si>
    <t>hodin</t>
  </si>
  <si>
    <t>leden</t>
  </si>
  <si>
    <t>LED dioda 5mm</t>
  </si>
  <si>
    <t>HGSEMI Posuvný registr 74HC595N, DIP-16</t>
  </si>
  <si>
    <t>ASAIR senzor teploty a vlhkosti vzduchu DHT11</t>
  </si>
  <si>
    <t>RTC Hodiny reálného času DS1302</t>
  </si>
  <si>
    <t>Bluetooth modul HC-05 TTL</t>
  </si>
  <si>
    <t>Arduino Mega</t>
  </si>
  <si>
    <t>Plošný spoj</t>
  </si>
  <si>
    <t>Dřevěná konstrukce</t>
  </si>
  <si>
    <t>Konstrukce z plexiskla</t>
  </si>
  <si>
    <t>konektory</t>
  </si>
  <si>
    <t>Rezistory</t>
  </si>
  <si>
    <t>Spínač</t>
  </si>
  <si>
    <t>Program</t>
  </si>
  <si>
    <t>Konstrukce</t>
  </si>
  <si>
    <t>Elektrická část</t>
  </si>
  <si>
    <t>Aplikace</t>
  </si>
  <si>
    <t>Textová část</t>
  </si>
  <si>
    <t>Ing. Vladimír Křivka, Phd</t>
  </si>
  <si>
    <t>Konzultace ohledně textové části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</si>
</sst>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/yyyy\ h:mm"/>
    <numFmt numFmtId="165" formatCode="d/m/yyyy"/>
    <numFmt numFmtId="166" formatCode="mmmm"/>
  </numFmts>
  <fonts count="11" x14ac:knownFonts="1">
    <font>
      <sz val="10"/>
      <name val="Arial"/>
      <family val="2"/>
    </font>
    <font>
      <sz val="10"/>
      <color rgb="FF000000"/>
      <name val="Arial"/>
      <family val="2"/>
      <charset val="238"/>
    </font>
    <font>
      <b/>
      <sz val="20"/>
      <color rgb="FF000000"/>
      <name val="Arial"/>
      <family val="2"/>
      <charset val="238"/>
    </font>
    <font>
      <b/>
      <sz val="13"/>
      <color rgb="FF000000"/>
      <name val="Arial"/>
      <family val="2"/>
      <charset val="238"/>
    </font>
    <font>
      <sz val="10"/>
      <color rgb="FFFFFFFF"/>
      <name val="Arial"/>
      <family val="2"/>
      <charset val="238"/>
    </font>
    <font>
      <b/>
      <sz val="16"/>
      <color rgb="FF000000"/>
      <name val="Arial"/>
      <family val="2"/>
      <charset val="238"/>
    </font>
    <font>
      <b/>
      <sz val="11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1"/>
      <color rgb="FF000000"/>
      <name val="Calibri"/>
      <family val="2"/>
      <charset val="238"/>
    </font>
    <font>
      <b/>
      <sz val="10"/>
      <color rgb="FFFFFFFF"/>
      <name val="Arial"/>
      <family val="2"/>
      <charset val="238"/>
    </font>
    <font>
      <sz val="10"/>
      <color rgb="FF2C2826"/>
      <name val="Arial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rgb="FFA6A6A6"/>
        <bgColor rgb="FFBFBFBF"/>
      </patternFill>
    </fill>
    <fill>
      <patternFill patternType="solid">
        <fgColor rgb="FFD6DCE5"/>
        <bgColor rgb="FFD9D9D9"/>
      </patternFill>
    </fill>
    <fill>
      <patternFill patternType="solid">
        <fgColor rgb="FFBFBFBF"/>
        <bgColor rgb="FFA6A6A6"/>
      </patternFill>
    </fill>
  </fills>
  <borders count="2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164" fontId="4" fillId="0" borderId="0" xfId="0" applyNumberFormat="1" applyFont="1"/>
    <xf numFmtId="0" fontId="5" fillId="0" borderId="0" xfId="0" applyFont="1"/>
    <xf numFmtId="0" fontId="6" fillId="0" borderId="0" xfId="0" applyFont="1"/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165" fontId="1" fillId="0" borderId="4" xfId="0" applyNumberFormat="1" applyFont="1" applyBorder="1"/>
    <xf numFmtId="0" fontId="1" fillId="0" borderId="5" xfId="0" applyFont="1" applyBorder="1"/>
    <xf numFmtId="0" fontId="1" fillId="0" borderId="6" xfId="0" applyFont="1" applyBorder="1"/>
    <xf numFmtId="165" fontId="1" fillId="0" borderId="7" xfId="0" applyNumberFormat="1" applyFont="1" applyBorder="1"/>
    <xf numFmtId="0" fontId="7" fillId="0" borderId="8" xfId="0" applyFont="1" applyBorder="1" applyAlignment="1">
      <alignment horizontal="center"/>
    </xf>
    <xf numFmtId="0" fontId="7" fillId="0" borderId="9" xfId="0" applyFont="1" applyBorder="1"/>
    <xf numFmtId="0" fontId="7" fillId="0" borderId="10" xfId="0" applyFont="1" applyBorder="1"/>
    <xf numFmtId="0" fontId="7" fillId="0" borderId="1" xfId="0" applyFont="1" applyBorder="1" applyAlignment="1">
      <alignment horizontal="center"/>
    </xf>
    <xf numFmtId="0" fontId="7" fillId="0" borderId="11" xfId="0" applyFont="1" applyBorder="1"/>
    <xf numFmtId="0" fontId="7" fillId="0" borderId="3" xfId="0" applyFont="1" applyBorder="1"/>
    <xf numFmtId="0" fontId="1" fillId="0" borderId="12" xfId="0" applyFont="1" applyBorder="1"/>
    <xf numFmtId="0" fontId="7" fillId="3" borderId="13" xfId="0" applyFont="1" applyFill="1" applyBorder="1" applyProtection="1">
      <protection locked="0"/>
    </xf>
    <xf numFmtId="0" fontId="1" fillId="0" borderId="14" xfId="0" applyFont="1" applyBorder="1"/>
    <xf numFmtId="0" fontId="7" fillId="0" borderId="15" xfId="0" applyFont="1" applyBorder="1" applyAlignment="1">
      <alignment horizontal="left"/>
    </xf>
    <xf numFmtId="0" fontId="7" fillId="0" borderId="16" xfId="0" applyFont="1" applyBorder="1"/>
    <xf numFmtId="0" fontId="7" fillId="0" borderId="17" xfId="0" applyFont="1" applyBorder="1"/>
    <xf numFmtId="0" fontId="7" fillId="0" borderId="17" xfId="0" applyFont="1" applyBorder="1" applyAlignment="1">
      <alignment horizontal="right"/>
    </xf>
    <xf numFmtId="0" fontId="7" fillId="2" borderId="12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1" fillId="0" borderId="15" xfId="0" applyFont="1" applyBorder="1" applyAlignment="1">
      <alignment horizontal="center"/>
    </xf>
    <xf numFmtId="0" fontId="1" fillId="0" borderId="7" xfId="0" applyFont="1" applyBorder="1"/>
    <xf numFmtId="0" fontId="7" fillId="0" borderId="0" xfId="0" applyFont="1"/>
    <xf numFmtId="0" fontId="1" fillId="0" borderId="20" xfId="0" applyFont="1" applyBorder="1"/>
    <xf numFmtId="0" fontId="7" fillId="0" borderId="1" xfId="0" applyFont="1" applyBorder="1" applyAlignment="1">
      <alignment horizontal="left"/>
    </xf>
    <xf numFmtId="0" fontId="7" fillId="2" borderId="13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 wrapText="1"/>
    </xf>
    <xf numFmtId="0" fontId="0" fillId="0" borderId="7" xfId="0" applyBorder="1" applyProtection="1">
      <protection locked="0"/>
    </xf>
    <xf numFmtId="0" fontId="0" fillId="0" borderId="23" xfId="0" applyBorder="1" applyProtection="1">
      <protection locked="0"/>
    </xf>
    <xf numFmtId="0" fontId="0" fillId="0" borderId="19" xfId="0" applyBorder="1" applyProtection="1">
      <protection locked="0"/>
    </xf>
    <xf numFmtId="0" fontId="0" fillId="0" borderId="24" xfId="0" applyBorder="1" applyProtection="1">
      <protection locked="0"/>
    </xf>
    <xf numFmtId="0" fontId="8" fillId="0" borderId="0" xfId="0" applyFont="1"/>
    <xf numFmtId="0" fontId="0" fillId="0" borderId="15" xfId="0" applyBorder="1" applyProtection="1">
      <protection locked="0"/>
    </xf>
    <xf numFmtId="0" fontId="0" fillId="0" borderId="16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25" xfId="0" applyBorder="1" applyProtection="1">
      <protection locked="0"/>
    </xf>
    <xf numFmtId="0" fontId="8" fillId="4" borderId="18" xfId="0" applyFont="1" applyFill="1" applyBorder="1"/>
    <xf numFmtId="0" fontId="0" fillId="4" borderId="11" xfId="0" applyFill="1" applyBorder="1"/>
    <xf numFmtId="0" fontId="0" fillId="4" borderId="3" xfId="0" applyFill="1" applyBorder="1"/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1" fillId="0" borderId="5" xfId="0" applyFont="1" applyBorder="1" applyProtection="1">
      <protection locked="0"/>
    </xf>
    <xf numFmtId="0" fontId="1" fillId="0" borderId="6" xfId="0" applyFont="1" applyBorder="1" applyProtection="1">
      <protection locked="0"/>
    </xf>
    <xf numFmtId="0" fontId="1" fillId="0" borderId="23" xfId="0" applyFont="1" applyBorder="1"/>
    <xf numFmtId="0" fontId="1" fillId="0" borderId="23" xfId="0" applyFont="1" applyBorder="1" applyProtection="1">
      <protection locked="0"/>
    </xf>
    <xf numFmtId="0" fontId="1" fillId="0" borderId="19" xfId="0" applyFont="1" applyBorder="1" applyProtection="1">
      <protection locked="0"/>
    </xf>
    <xf numFmtId="0" fontId="1" fillId="0" borderId="26" xfId="0" applyFont="1" applyBorder="1"/>
    <xf numFmtId="0" fontId="1" fillId="0" borderId="26" xfId="0" applyFont="1" applyBorder="1" applyProtection="1">
      <protection locked="0"/>
    </xf>
    <xf numFmtId="0" fontId="1" fillId="0" borderId="21" xfId="0" applyFont="1" applyBorder="1" applyProtection="1">
      <protection locked="0"/>
    </xf>
    <xf numFmtId="0" fontId="7" fillId="0" borderId="2" xfId="0" applyFont="1" applyBorder="1"/>
    <xf numFmtId="0" fontId="9" fillId="0" borderId="27" xfId="0" applyFont="1" applyBorder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2" xfId="0" applyFont="1" applyFill="1" applyBorder="1" applyAlignment="1">
      <alignment wrapText="1"/>
    </xf>
    <xf numFmtId="0" fontId="1" fillId="2" borderId="3" xfId="0" applyFont="1" applyFill="1" applyBorder="1"/>
    <xf numFmtId="0" fontId="1" fillId="0" borderId="4" xfId="0" applyFont="1" applyBorder="1" applyProtection="1">
      <protection locked="0"/>
    </xf>
    <xf numFmtId="0" fontId="1" fillId="0" borderId="7" xfId="0" applyFont="1" applyBorder="1" applyProtection="1">
      <protection locked="0"/>
    </xf>
    <xf numFmtId="0" fontId="1" fillId="0" borderId="20" xfId="0" applyFont="1" applyBorder="1" applyProtection="1">
      <protection locked="0"/>
    </xf>
    <xf numFmtId="166" fontId="3" fillId="0" borderId="0" xfId="0" applyNumberFormat="1" applyFont="1" applyAlignment="1">
      <alignment horizontal="left"/>
    </xf>
    <xf numFmtId="0" fontId="7" fillId="2" borderId="14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wrapText="1"/>
    </xf>
    <xf numFmtId="0" fontId="1" fillId="0" borderId="17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5" fillId="4" borderId="18" xfId="0" applyFont="1" applyFill="1" applyBorder="1" applyAlignment="1">
      <alignment horizontal="center"/>
    </xf>
    <xf numFmtId="0" fontId="1" fillId="0" borderId="14" xfId="0" applyFont="1" applyBorder="1" applyAlignment="1">
      <alignment horizontal="right"/>
    </xf>
    <xf numFmtId="0" fontId="1" fillId="0" borderId="19" xfId="0" applyFont="1" applyBorder="1" applyAlignment="1">
      <alignment horizontal="right"/>
    </xf>
    <xf numFmtId="0" fontId="7" fillId="0" borderId="19" xfId="0" applyFont="1" applyBorder="1" applyAlignment="1">
      <alignment horizontal="right"/>
    </xf>
    <xf numFmtId="0" fontId="1" fillId="0" borderId="21" xfId="0" applyFont="1" applyBorder="1" applyAlignment="1">
      <alignment horizontal="right"/>
    </xf>
    <xf numFmtId="0" fontId="7" fillId="0" borderId="3" xfId="0" applyFont="1" applyBorder="1" applyAlignment="1">
      <alignment horizontal="right"/>
    </xf>
    <xf numFmtId="0" fontId="0" fillId="0" borderId="0" xfId="0" applyAlignment="1">
      <alignment horizontal="left" wrapText="1"/>
    </xf>
    <xf numFmtId="0" fontId="0" fillId="0" borderId="0" xfId="0"/>
    <xf numFmtId="0" fontId="7" fillId="0" borderId="1" xfId="0" applyFont="1" applyBorder="1" applyAlignment="1">
      <alignment horizontal="center"/>
    </xf>
    <xf numFmtId="14" fontId="0" fillId="0" borderId="7" xfId="0" applyNumberFormat="1" applyBorder="1" applyProtection="1">
      <protection locked="0"/>
    </xf>
    <xf numFmtId="0" fontId="10" fillId="0" borderId="0" xfId="0" applyFont="1"/>
  </cellXfs>
  <cellStyles count="1">
    <cellStyle name="Normální" xfId="0" builtinId="0"/>
  </cellStyles>
  <dxfs count="20">
    <dxf>
      <font>
        <strike val="0"/>
        <color rgb="FFFFFFFF"/>
      </font>
      <fill>
        <patternFill>
          <bgColor rgb="FFD9D9D9"/>
        </patternFill>
      </fill>
    </dxf>
    <dxf>
      <font>
        <strike val="0"/>
        <color rgb="FFFFFFFF"/>
      </font>
      <fill>
        <patternFill>
          <bgColor rgb="FFD9D9D9"/>
        </patternFill>
      </fill>
    </dxf>
    <dxf>
      <font>
        <strike val="0"/>
        <color rgb="FFFFFFFF"/>
      </font>
      <fill>
        <patternFill>
          <bgColor rgb="FFD9D9D9"/>
        </patternFill>
      </fill>
    </dxf>
    <dxf>
      <font>
        <strike val="0"/>
        <color rgb="FFFFFFFF"/>
      </font>
      <fill>
        <patternFill>
          <bgColor rgb="FFD9D9D9"/>
        </patternFill>
      </fill>
    </dxf>
    <dxf>
      <font>
        <strike val="0"/>
        <color rgb="FFFFFFFF"/>
      </font>
      <fill>
        <patternFill>
          <bgColor rgb="FFD9D9D9"/>
        </patternFill>
      </fill>
    </dxf>
    <dxf>
      <font>
        <strike val="0"/>
        <color rgb="FFFFFFFF"/>
      </font>
      <fill>
        <patternFill>
          <bgColor rgb="FFD9D9D9"/>
        </patternFill>
      </fill>
    </dxf>
    <dxf>
      <font>
        <strike val="0"/>
        <color rgb="FFFFFFFF"/>
      </font>
      <fill>
        <patternFill>
          <bgColor rgb="FFD9D9D9"/>
        </patternFill>
      </fill>
    </dxf>
    <dxf>
      <font>
        <strike val="0"/>
        <color rgb="FFFFFFFF"/>
      </font>
      <fill>
        <patternFill>
          <bgColor rgb="FFD9D9D9"/>
        </patternFill>
      </fill>
    </dxf>
    <dxf>
      <font>
        <strike val="0"/>
        <color rgb="FFFFFFFF"/>
      </font>
      <fill>
        <patternFill>
          <bgColor rgb="FFD9D9D9"/>
        </patternFill>
      </fill>
    </dxf>
    <dxf>
      <font>
        <strike val="0"/>
        <color rgb="FFFFFFFF"/>
      </font>
      <fill>
        <patternFill>
          <bgColor rgb="FFD9D9D9"/>
        </patternFill>
      </fill>
    </dxf>
    <dxf>
      <font>
        <strike val="0"/>
        <color rgb="FFFFFFFF"/>
      </font>
      <fill>
        <patternFill>
          <bgColor rgb="FFD9D9D9"/>
        </patternFill>
      </fill>
    </dxf>
    <dxf>
      <font>
        <strike val="0"/>
        <color rgb="FFFFFFFF"/>
      </font>
      <fill>
        <patternFill>
          <bgColor rgb="FFD9D9D9"/>
        </patternFill>
      </fill>
    </dxf>
    <dxf>
      <font>
        <strike val="0"/>
        <color rgb="FFFFFFFF"/>
      </font>
      <fill>
        <patternFill>
          <bgColor rgb="FFD9D9D9"/>
        </patternFill>
      </fill>
    </dxf>
    <dxf>
      <font>
        <strike val="0"/>
        <color rgb="FFFFFFFF"/>
      </font>
      <fill>
        <patternFill>
          <bgColor rgb="FFD9D9D9"/>
        </patternFill>
      </fill>
    </dxf>
    <dxf>
      <font>
        <strike val="0"/>
        <color rgb="FFFFFFFF"/>
      </font>
      <fill>
        <patternFill>
          <bgColor rgb="FFD9D9D9"/>
        </patternFill>
      </fill>
    </dxf>
    <dxf>
      <font>
        <strike val="0"/>
        <color rgb="FFFFFFFF"/>
      </font>
      <fill>
        <patternFill>
          <bgColor rgb="FFD9D9D9"/>
        </patternFill>
      </fill>
    </dxf>
    <dxf>
      <font>
        <strike val="0"/>
        <color rgb="FFFFFFFF"/>
      </font>
      <fill>
        <patternFill>
          <bgColor rgb="FFD9D9D9"/>
        </patternFill>
      </fill>
    </dxf>
    <dxf>
      <font>
        <strike val="0"/>
        <color rgb="FFFFFFFF"/>
      </font>
      <fill>
        <patternFill>
          <bgColor rgb="FFD9D9D9"/>
        </patternFill>
      </fill>
    </dxf>
    <dxf>
      <font>
        <strike val="0"/>
        <color rgb="FFFFFFFF"/>
      </font>
      <fill>
        <patternFill>
          <bgColor rgb="FFD9D9D9"/>
        </patternFill>
      </fill>
    </dxf>
    <dxf>
      <font>
        <strike val="0"/>
        <color rgb="FFFFFFFF"/>
      </font>
      <fill>
        <patternFill>
          <bgColor rgb="FFD9D9D9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DC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7"/>
  <sheetViews>
    <sheetView zoomScaleNormal="100" workbookViewId="0">
      <selection activeCell="K16" sqref="K16"/>
    </sheetView>
  </sheetViews>
  <sheetFormatPr defaultColWidth="9.140625" defaultRowHeight="12.75" x14ac:dyDescent="0.2"/>
  <cols>
    <col min="1" max="1" width="23" style="1" customWidth="1"/>
    <col min="2" max="3" width="13.28515625" style="1" customWidth="1"/>
    <col min="4" max="4" width="21.42578125" style="1" customWidth="1"/>
    <col min="5" max="5" width="13.5703125" style="1" customWidth="1"/>
    <col min="6" max="6" width="12.7109375" style="1" customWidth="1"/>
    <col min="7" max="17" width="9.140625" style="1"/>
    <col min="18" max="18" width="17.28515625" style="1" customWidth="1"/>
    <col min="19" max="16384" width="9.140625" style="1"/>
  </cols>
  <sheetData>
    <row r="1" spans="1:18" ht="26.25" x14ac:dyDescent="0.4">
      <c r="A1" s="2" t="s">
        <v>0</v>
      </c>
      <c r="B1" s="3"/>
      <c r="C1" s="4"/>
      <c r="D1" s="4"/>
      <c r="R1" s="5">
        <f ca="1">NOW()</f>
        <v>45351.926779861111</v>
      </c>
    </row>
    <row r="2" spans="1:18" ht="6" customHeight="1" x14ac:dyDescent="0.2"/>
    <row r="3" spans="1:18" ht="20.25" customHeight="1" x14ac:dyDescent="0.3">
      <c r="A3" s="6" t="s">
        <v>1</v>
      </c>
    </row>
    <row r="4" spans="1:18" ht="15" x14ac:dyDescent="0.25">
      <c r="A4" s="7" t="s">
        <v>2</v>
      </c>
      <c r="D4" s="7" t="s">
        <v>3</v>
      </c>
    </row>
    <row r="5" spans="1:18" ht="29.25" customHeight="1" x14ac:dyDescent="0.2">
      <c r="A5" s="8" t="s">
        <v>4</v>
      </c>
      <c r="B5" s="9" t="s">
        <v>5</v>
      </c>
      <c r="C5" s="10" t="s">
        <v>6</v>
      </c>
      <c r="D5" s="8" t="s">
        <v>4</v>
      </c>
      <c r="E5" s="9" t="s">
        <v>5</v>
      </c>
      <c r="F5" s="10" t="s">
        <v>6</v>
      </c>
    </row>
    <row r="6" spans="1:18" x14ac:dyDescent="0.2">
      <c r="A6" s="11" t="s">
        <v>7</v>
      </c>
      <c r="B6" s="12">
        <v>5</v>
      </c>
      <c r="C6" s="13">
        <v>20</v>
      </c>
      <c r="D6" s="11" t="s">
        <v>7</v>
      </c>
      <c r="E6" s="12">
        <f>říjen!$D$57</f>
        <v>0</v>
      </c>
      <c r="F6" s="13">
        <f>říjen!$C$57</f>
        <v>0</v>
      </c>
    </row>
    <row r="7" spans="1:18" x14ac:dyDescent="0.2">
      <c r="A7" s="14" t="s">
        <v>8</v>
      </c>
      <c r="B7" s="12">
        <v>9</v>
      </c>
      <c r="C7" s="13">
        <v>20</v>
      </c>
      <c r="D7" s="14" t="s">
        <v>8</v>
      </c>
      <c r="E7" s="12">
        <f>listopad!$D$57</f>
        <v>0</v>
      </c>
      <c r="F7" s="13">
        <f>listopad!$C$57</f>
        <v>0</v>
      </c>
    </row>
    <row r="8" spans="1:18" x14ac:dyDescent="0.2">
      <c r="A8" s="11" t="s">
        <v>9</v>
      </c>
      <c r="B8" s="12">
        <v>8</v>
      </c>
      <c r="C8" s="13">
        <v>24</v>
      </c>
      <c r="D8" s="11" t="s">
        <v>9</v>
      </c>
      <c r="E8" s="12">
        <v>1</v>
      </c>
      <c r="F8" s="13">
        <v>1</v>
      </c>
    </row>
    <row r="9" spans="1:18" x14ac:dyDescent="0.2">
      <c r="A9" s="14" t="s">
        <v>10</v>
      </c>
      <c r="B9" s="12">
        <v>6</v>
      </c>
      <c r="C9" s="13">
        <v>30</v>
      </c>
      <c r="D9" s="14" t="s">
        <v>10</v>
      </c>
      <c r="E9" s="12">
        <f>leden!$D$57</f>
        <v>0</v>
      </c>
      <c r="F9" s="13">
        <f>leden!$C$57</f>
        <v>0</v>
      </c>
    </row>
    <row r="10" spans="1:18" x14ac:dyDescent="0.2">
      <c r="A10" s="11" t="s">
        <v>11</v>
      </c>
      <c r="B10" s="12">
        <v>15</v>
      </c>
      <c r="C10" s="13">
        <v>25</v>
      </c>
      <c r="D10" s="11" t="s">
        <v>11</v>
      </c>
      <c r="E10" s="12">
        <v>1</v>
      </c>
      <c r="F10" s="13">
        <v>1</v>
      </c>
    </row>
    <row r="11" spans="1:18" x14ac:dyDescent="0.2">
      <c r="A11" s="14" t="s">
        <v>12</v>
      </c>
      <c r="B11" s="12">
        <f>březen!$D$36</f>
        <v>0</v>
      </c>
      <c r="C11" s="13">
        <f>březen!$C$36</f>
        <v>0</v>
      </c>
      <c r="D11" s="14" t="s">
        <v>12</v>
      </c>
      <c r="E11" s="12">
        <v>0</v>
      </c>
      <c r="F11" s="13">
        <f>březen!$C$57</f>
        <v>0</v>
      </c>
    </row>
    <row r="12" spans="1:18" ht="15.75" customHeight="1" x14ac:dyDescent="0.2">
      <c r="A12" s="15" t="s">
        <v>13</v>
      </c>
      <c r="B12" s="16">
        <f>SUM(B6:B11)</f>
        <v>43</v>
      </c>
      <c r="C12" s="17">
        <f>SUM(C6:C11)</f>
        <v>119</v>
      </c>
      <c r="D12" s="18" t="s">
        <v>13</v>
      </c>
      <c r="E12" s="19">
        <f>SUM(E6:E11)</f>
        <v>2</v>
      </c>
      <c r="F12" s="20">
        <f>SUM(F6:F11)</f>
        <v>2</v>
      </c>
    </row>
    <row r="13" spans="1:18" x14ac:dyDescent="0.2">
      <c r="A13" s="21" t="s">
        <v>14</v>
      </c>
      <c r="B13" s="22">
        <v>200</v>
      </c>
      <c r="C13" s="23" t="s">
        <v>15</v>
      </c>
      <c r="D13" s="21" t="s">
        <v>14</v>
      </c>
      <c r="E13" s="22">
        <v>500</v>
      </c>
      <c r="F13" s="23" t="s">
        <v>15</v>
      </c>
    </row>
    <row r="14" spans="1:18" ht="14.25" customHeight="1" x14ac:dyDescent="0.2">
      <c r="A14" s="24" t="s">
        <v>16</v>
      </c>
      <c r="B14" s="25"/>
      <c r="C14" s="26">
        <f>B13*C12</f>
        <v>23800</v>
      </c>
      <c r="D14" s="24" t="s">
        <v>16</v>
      </c>
      <c r="E14" s="25"/>
      <c r="F14" s="27">
        <f>E13*F12</f>
        <v>1000</v>
      </c>
    </row>
    <row r="16" spans="1:18" ht="15" x14ac:dyDescent="0.25">
      <c r="A16" s="7" t="s">
        <v>17</v>
      </c>
    </row>
    <row r="17" spans="1:5" ht="15.75" customHeight="1" x14ac:dyDescent="0.2">
      <c r="A17" s="28" t="s">
        <v>18</v>
      </c>
      <c r="B17" s="69" t="s">
        <v>19</v>
      </c>
      <c r="C17" s="69"/>
      <c r="D17" s="70"/>
      <c r="E17" s="70"/>
    </row>
    <row r="18" spans="1:5" x14ac:dyDescent="0.2">
      <c r="A18" s="30">
        <f>'náklady – materiál'!D48</f>
        <v>794</v>
      </c>
      <c r="B18" s="71">
        <f>'náklady – materiál'!E48</f>
        <v>0</v>
      </c>
      <c r="C18" s="71"/>
      <c r="D18" s="72"/>
      <c r="E18" s="72"/>
    </row>
    <row r="20" spans="1:5" ht="20.25" x14ac:dyDescent="0.3">
      <c r="A20" s="73" t="s">
        <v>20</v>
      </c>
      <c r="B20" s="73"/>
      <c r="C20" s="73"/>
    </row>
    <row r="21" spans="1:5" x14ac:dyDescent="0.2">
      <c r="A21" s="21" t="s">
        <v>2</v>
      </c>
      <c r="B21" s="74">
        <f>C14</f>
        <v>23800</v>
      </c>
      <c r="C21" s="74"/>
    </row>
    <row r="22" spans="1:5" x14ac:dyDescent="0.2">
      <c r="A22" s="31" t="s">
        <v>21</v>
      </c>
      <c r="B22" s="75">
        <f>F14</f>
        <v>1000</v>
      </c>
      <c r="C22" s="75"/>
    </row>
    <row r="23" spans="1:5" ht="13.7" customHeight="1" x14ac:dyDescent="0.2">
      <c r="A23" s="31" t="s">
        <v>22</v>
      </c>
      <c r="B23" s="76">
        <f>A18+B18</f>
        <v>794</v>
      </c>
      <c r="C23" s="76"/>
      <c r="D23" s="32"/>
    </row>
    <row r="24" spans="1:5" x14ac:dyDescent="0.2">
      <c r="A24" s="33" t="s">
        <v>23</v>
      </c>
      <c r="B24" s="77">
        <f>D18</f>
        <v>0</v>
      </c>
      <c r="C24" s="77"/>
    </row>
    <row r="25" spans="1:5" x14ac:dyDescent="0.2">
      <c r="A25" s="34" t="s">
        <v>13</v>
      </c>
      <c r="B25" s="78">
        <f>SUM(B21:C24)</f>
        <v>25594</v>
      </c>
      <c r="C25" s="78"/>
    </row>
    <row r="27" spans="1:5" x14ac:dyDescent="0.2">
      <c r="A27" s="1" t="s">
        <v>24</v>
      </c>
    </row>
  </sheetData>
  <mergeCells count="10">
    <mergeCell ref="B21:C21"/>
    <mergeCell ref="B22:C22"/>
    <mergeCell ref="B23:C23"/>
    <mergeCell ref="B24:C24"/>
    <mergeCell ref="B25:C25"/>
    <mergeCell ref="B17:C17"/>
    <mergeCell ref="D17:E17"/>
    <mergeCell ref="B18:C18"/>
    <mergeCell ref="D18:E18"/>
    <mergeCell ref="A20:C20"/>
  </mergeCells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Roman,Běžné"&amp;12&amp;A</oddHeader>
    <oddFooter>&amp;C&amp;"Times New Roman,Běžné"&amp;12Stránka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8"/>
  <sheetViews>
    <sheetView tabSelected="1" zoomScale="85" zoomScaleNormal="85" workbookViewId="0">
      <selection activeCell="G13" sqref="G13:G14"/>
    </sheetView>
  </sheetViews>
  <sheetFormatPr defaultColWidth="8.42578125" defaultRowHeight="12.75" x14ac:dyDescent="0.2"/>
  <cols>
    <col min="1" max="1" width="14.42578125" customWidth="1"/>
    <col min="2" max="2" width="41.5703125" customWidth="1"/>
    <col min="3" max="3" width="7.5703125" customWidth="1"/>
    <col min="4" max="5" width="14.28515625" customWidth="1"/>
    <col min="6" max="6" width="2.7109375" customWidth="1"/>
    <col min="7" max="7" width="82.28515625" customWidth="1"/>
  </cols>
  <sheetData>
    <row r="1" spans="1:7" ht="16.5" x14ac:dyDescent="0.25">
      <c r="A1" s="3" t="s">
        <v>25</v>
      </c>
    </row>
    <row r="3" spans="1:7" ht="25.5" x14ac:dyDescent="0.2">
      <c r="A3" s="28" t="s">
        <v>26</v>
      </c>
      <c r="B3" s="35" t="s">
        <v>27</v>
      </c>
      <c r="C3" s="29" t="s">
        <v>28</v>
      </c>
      <c r="D3" s="36" t="s">
        <v>29</v>
      </c>
      <c r="E3" s="29" t="s">
        <v>30</v>
      </c>
    </row>
    <row r="4" spans="1:7" ht="15" x14ac:dyDescent="0.25">
      <c r="A4" s="82">
        <v>45174</v>
      </c>
      <c r="B4" s="83" t="s">
        <v>48</v>
      </c>
      <c r="C4" s="39">
        <v>8</v>
      </c>
      <c r="D4" s="40">
        <v>96</v>
      </c>
      <c r="E4" s="39"/>
      <c r="G4" s="41" t="s">
        <v>31</v>
      </c>
    </row>
    <row r="5" spans="1:7" x14ac:dyDescent="0.2">
      <c r="A5" s="82">
        <v>45174</v>
      </c>
      <c r="B5" s="38" t="s">
        <v>47</v>
      </c>
      <c r="C5" s="39">
        <v>513</v>
      </c>
      <c r="D5" s="40">
        <v>513</v>
      </c>
      <c r="E5" s="39"/>
      <c r="G5" t="s">
        <v>32</v>
      </c>
    </row>
    <row r="6" spans="1:7" x14ac:dyDescent="0.2">
      <c r="A6" s="82">
        <v>45174</v>
      </c>
      <c r="B6" s="38" t="s">
        <v>49</v>
      </c>
      <c r="C6" s="39">
        <v>1</v>
      </c>
      <c r="D6" s="40">
        <v>48</v>
      </c>
      <c r="E6" s="39"/>
      <c r="G6" t="s">
        <v>33</v>
      </c>
    </row>
    <row r="7" spans="1:7" x14ac:dyDescent="0.2">
      <c r="A7" s="82">
        <v>45174</v>
      </c>
      <c r="B7" s="38" t="s">
        <v>50</v>
      </c>
      <c r="C7" s="39">
        <v>1</v>
      </c>
      <c r="D7" s="40">
        <v>19</v>
      </c>
      <c r="E7" s="39"/>
    </row>
    <row r="8" spans="1:7" ht="15" x14ac:dyDescent="0.25">
      <c r="A8" s="82">
        <v>45174</v>
      </c>
      <c r="B8" s="38" t="s">
        <v>51</v>
      </c>
      <c r="C8" s="39">
        <v>1</v>
      </c>
      <c r="D8" s="40">
        <v>118</v>
      </c>
      <c r="E8" s="39"/>
      <c r="G8" s="41" t="s">
        <v>34</v>
      </c>
    </row>
    <row r="9" spans="1:7" x14ac:dyDescent="0.2">
      <c r="A9" s="82">
        <v>45174</v>
      </c>
      <c r="B9" s="38" t="s">
        <v>52</v>
      </c>
      <c r="C9" s="39">
        <v>1</v>
      </c>
      <c r="D9" s="40">
        <v>0</v>
      </c>
      <c r="E9" s="39"/>
      <c r="G9" t="s">
        <v>35</v>
      </c>
    </row>
    <row r="10" spans="1:7" x14ac:dyDescent="0.2">
      <c r="A10" s="82">
        <v>45174</v>
      </c>
      <c r="B10" s="38" t="s">
        <v>53</v>
      </c>
      <c r="C10" s="39">
        <v>1</v>
      </c>
      <c r="D10" s="40">
        <v>0</v>
      </c>
      <c r="E10" s="39"/>
    </row>
    <row r="11" spans="1:7" ht="15" x14ac:dyDescent="0.25">
      <c r="A11" s="82">
        <v>45174</v>
      </c>
      <c r="B11" s="38" t="s">
        <v>54</v>
      </c>
      <c r="C11" s="39">
        <v>1</v>
      </c>
      <c r="D11" s="40">
        <v>0</v>
      </c>
      <c r="E11" s="39"/>
      <c r="G11" s="41" t="s">
        <v>36</v>
      </c>
    </row>
    <row r="12" spans="1:7" x14ac:dyDescent="0.2">
      <c r="A12" s="82">
        <v>45174</v>
      </c>
      <c r="B12" s="38" t="s">
        <v>55</v>
      </c>
      <c r="C12" s="39">
        <v>1</v>
      </c>
      <c r="D12" s="40">
        <v>0</v>
      </c>
      <c r="E12" s="39"/>
      <c r="G12" t="s">
        <v>37</v>
      </c>
    </row>
    <row r="13" spans="1:7" ht="12.75" customHeight="1" x14ac:dyDescent="0.2">
      <c r="A13" s="82">
        <v>45174</v>
      </c>
      <c r="B13" s="38" t="s">
        <v>56</v>
      </c>
      <c r="C13" s="39">
        <v>9</v>
      </c>
      <c r="D13" s="40">
        <v>0</v>
      </c>
      <c r="E13" s="39"/>
      <c r="G13" s="79" t="s">
        <v>38</v>
      </c>
    </row>
    <row r="14" spans="1:7" x14ac:dyDescent="0.2">
      <c r="A14" s="82">
        <v>45174</v>
      </c>
      <c r="B14" s="38" t="s">
        <v>57</v>
      </c>
      <c r="C14" s="39">
        <v>100</v>
      </c>
      <c r="D14" s="40">
        <v>0</v>
      </c>
      <c r="E14" s="39"/>
      <c r="G14" s="80"/>
    </row>
    <row r="15" spans="1:7" x14ac:dyDescent="0.2">
      <c r="A15" s="82">
        <v>45174</v>
      </c>
      <c r="B15" s="38" t="s">
        <v>58</v>
      </c>
      <c r="C15" s="39">
        <v>1</v>
      </c>
      <c r="D15" s="40">
        <v>0</v>
      </c>
      <c r="E15" s="39"/>
    </row>
    <row r="16" spans="1:7" ht="15" x14ac:dyDescent="0.25">
      <c r="A16" s="37"/>
      <c r="B16" s="38"/>
      <c r="C16" s="39"/>
      <c r="D16" s="40"/>
      <c r="E16" s="39"/>
      <c r="G16" s="41" t="s">
        <v>39</v>
      </c>
    </row>
    <row r="17" spans="1:7" ht="12.75" customHeight="1" x14ac:dyDescent="0.2">
      <c r="A17" s="37"/>
      <c r="B17" s="38"/>
      <c r="C17" s="39"/>
      <c r="D17" s="40"/>
      <c r="E17" s="39"/>
      <c r="G17" s="79" t="s">
        <v>40</v>
      </c>
    </row>
    <row r="18" spans="1:7" x14ac:dyDescent="0.2">
      <c r="A18" s="37"/>
      <c r="B18" s="38"/>
      <c r="C18" s="39"/>
      <c r="D18" s="40"/>
      <c r="E18" s="39"/>
      <c r="G18" s="80"/>
    </row>
    <row r="19" spans="1:7" x14ac:dyDescent="0.2">
      <c r="A19" s="37"/>
      <c r="B19" s="38"/>
      <c r="C19" s="39"/>
      <c r="D19" s="40"/>
      <c r="E19" s="39"/>
    </row>
    <row r="20" spans="1:7" x14ac:dyDescent="0.2">
      <c r="A20" s="37"/>
      <c r="B20" s="38"/>
      <c r="C20" s="39"/>
      <c r="D20" s="40"/>
      <c r="E20" s="39"/>
    </row>
    <row r="21" spans="1:7" x14ac:dyDescent="0.2">
      <c r="A21" s="37"/>
      <c r="B21" s="38"/>
      <c r="C21" s="39"/>
      <c r="D21" s="40"/>
      <c r="E21" s="39"/>
    </row>
    <row r="22" spans="1:7" x14ac:dyDescent="0.2">
      <c r="A22" s="37"/>
      <c r="B22" s="38"/>
      <c r="C22" s="39"/>
      <c r="D22" s="40"/>
      <c r="E22" s="39"/>
    </row>
    <row r="23" spans="1:7" x14ac:dyDescent="0.2">
      <c r="A23" s="37"/>
      <c r="B23" s="38"/>
      <c r="C23" s="39"/>
      <c r="D23" s="40"/>
      <c r="E23" s="39"/>
    </row>
    <row r="24" spans="1:7" x14ac:dyDescent="0.2">
      <c r="A24" s="37"/>
      <c r="B24" s="38"/>
      <c r="C24" s="39"/>
      <c r="D24" s="40"/>
      <c r="E24" s="39"/>
    </row>
    <row r="25" spans="1:7" x14ac:dyDescent="0.2">
      <c r="A25" s="37"/>
      <c r="B25" s="38"/>
      <c r="C25" s="39"/>
      <c r="D25" s="40"/>
      <c r="E25" s="39"/>
    </row>
    <row r="26" spans="1:7" x14ac:dyDescent="0.2">
      <c r="A26" s="37"/>
      <c r="B26" s="38"/>
      <c r="C26" s="39"/>
      <c r="D26" s="40"/>
      <c r="E26" s="39"/>
    </row>
    <row r="27" spans="1:7" x14ac:dyDescent="0.2">
      <c r="A27" s="37"/>
      <c r="B27" s="38"/>
      <c r="C27" s="39"/>
      <c r="D27" s="40"/>
      <c r="E27" s="39"/>
    </row>
    <row r="28" spans="1:7" x14ac:dyDescent="0.2">
      <c r="A28" s="37"/>
      <c r="B28" s="38"/>
      <c r="C28" s="39"/>
      <c r="D28" s="40"/>
      <c r="E28" s="39"/>
    </row>
    <row r="29" spans="1:7" x14ac:dyDescent="0.2">
      <c r="A29" s="37"/>
      <c r="B29" s="38"/>
      <c r="C29" s="39"/>
      <c r="D29" s="40"/>
      <c r="E29" s="39"/>
    </row>
    <row r="30" spans="1:7" x14ac:dyDescent="0.2">
      <c r="A30" s="37"/>
      <c r="B30" s="38"/>
      <c r="C30" s="39"/>
      <c r="D30" s="40"/>
      <c r="E30" s="39"/>
    </row>
    <row r="31" spans="1:7" x14ac:dyDescent="0.2">
      <c r="A31" s="37"/>
      <c r="B31" s="38"/>
      <c r="C31" s="39"/>
      <c r="D31" s="40"/>
      <c r="E31" s="39"/>
    </row>
    <row r="32" spans="1:7" x14ac:dyDescent="0.2">
      <c r="A32" s="37"/>
      <c r="B32" s="38"/>
      <c r="C32" s="39"/>
      <c r="D32" s="40"/>
      <c r="E32" s="39"/>
    </row>
    <row r="33" spans="1:5" x14ac:dyDescent="0.2">
      <c r="A33" s="37"/>
      <c r="B33" s="38"/>
      <c r="C33" s="39"/>
      <c r="D33" s="40"/>
      <c r="E33" s="39"/>
    </row>
    <row r="34" spans="1:5" x14ac:dyDescent="0.2">
      <c r="A34" s="37"/>
      <c r="B34" s="38"/>
      <c r="C34" s="39"/>
      <c r="D34" s="40"/>
      <c r="E34" s="39"/>
    </row>
    <row r="35" spans="1:5" x14ac:dyDescent="0.2">
      <c r="A35" s="37"/>
      <c r="B35" s="38"/>
      <c r="C35" s="39"/>
      <c r="D35" s="40"/>
      <c r="E35" s="39"/>
    </row>
    <row r="36" spans="1:5" x14ac:dyDescent="0.2">
      <c r="A36" s="37"/>
      <c r="B36" s="38"/>
      <c r="C36" s="39"/>
      <c r="D36" s="40"/>
      <c r="E36" s="39"/>
    </row>
    <row r="37" spans="1:5" x14ac:dyDescent="0.2">
      <c r="A37" s="37"/>
      <c r="B37" s="38"/>
      <c r="C37" s="39"/>
      <c r="D37" s="40"/>
      <c r="E37" s="39"/>
    </row>
    <row r="38" spans="1:5" x14ac:dyDescent="0.2">
      <c r="A38" s="37"/>
      <c r="B38" s="38"/>
      <c r="C38" s="39"/>
      <c r="D38" s="40"/>
      <c r="E38" s="39"/>
    </row>
    <row r="39" spans="1:5" x14ac:dyDescent="0.2">
      <c r="A39" s="37"/>
      <c r="B39" s="38"/>
      <c r="C39" s="39"/>
      <c r="D39" s="40"/>
      <c r="E39" s="39"/>
    </row>
    <row r="40" spans="1:5" x14ac:dyDescent="0.2">
      <c r="A40" s="37"/>
      <c r="B40" s="38"/>
      <c r="C40" s="39"/>
      <c r="D40" s="40"/>
      <c r="E40" s="39"/>
    </row>
    <row r="41" spans="1:5" x14ac:dyDescent="0.2">
      <c r="A41" s="37"/>
      <c r="B41" s="38"/>
      <c r="C41" s="39"/>
      <c r="D41" s="40"/>
      <c r="E41" s="39"/>
    </row>
    <row r="42" spans="1:5" x14ac:dyDescent="0.2">
      <c r="A42" s="37"/>
      <c r="B42" s="38"/>
      <c r="C42" s="39"/>
      <c r="D42" s="40"/>
      <c r="E42" s="39"/>
    </row>
    <row r="43" spans="1:5" x14ac:dyDescent="0.2">
      <c r="A43" s="37"/>
      <c r="B43" s="38"/>
      <c r="C43" s="39"/>
      <c r="D43" s="40"/>
      <c r="E43" s="39"/>
    </row>
    <row r="44" spans="1:5" x14ac:dyDescent="0.2">
      <c r="A44" s="37"/>
      <c r="B44" s="38"/>
      <c r="C44" s="39"/>
      <c r="D44" s="40"/>
      <c r="E44" s="39"/>
    </row>
    <row r="45" spans="1:5" x14ac:dyDescent="0.2">
      <c r="A45" s="37"/>
      <c r="B45" s="38"/>
      <c r="C45" s="39"/>
      <c r="D45" s="40"/>
      <c r="E45" s="39"/>
    </row>
    <row r="46" spans="1:5" x14ac:dyDescent="0.2">
      <c r="A46" s="37"/>
      <c r="B46" s="38"/>
      <c r="C46" s="39"/>
      <c r="D46" s="40"/>
      <c r="E46" s="39"/>
    </row>
    <row r="47" spans="1:5" x14ac:dyDescent="0.2">
      <c r="A47" s="42"/>
      <c r="B47" s="43"/>
      <c r="C47" s="44"/>
      <c r="D47" s="45"/>
      <c r="E47" s="44"/>
    </row>
    <row r="48" spans="1:5" ht="15" x14ac:dyDescent="0.25">
      <c r="C48" s="46" t="s">
        <v>13</v>
      </c>
      <c r="D48" s="47">
        <f>SUM(D4:D47)</f>
        <v>794</v>
      </c>
      <c r="E48" s="48">
        <f>SUM(E4:E47)</f>
        <v>0</v>
      </c>
    </row>
  </sheetData>
  <mergeCells count="2">
    <mergeCell ref="G13:G14"/>
    <mergeCell ref="G17:G18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 r:id="rId1"/>
  <headerFooter>
    <oddHeader>&amp;C&amp;"Times New Roman,Běžné"&amp;12&amp;A</oddHeader>
    <oddFooter>&amp;C&amp;"Times New Roman,Běžné"&amp;12Stránka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57"/>
  <sheetViews>
    <sheetView zoomScale="75" zoomScaleNormal="75" workbookViewId="0">
      <selection activeCell="D34" sqref="D34"/>
    </sheetView>
  </sheetViews>
  <sheetFormatPr defaultColWidth="9.140625" defaultRowHeight="12.75" x14ac:dyDescent="0.2"/>
  <cols>
    <col min="1" max="1" width="22.140625" style="1" customWidth="1"/>
    <col min="2" max="2" width="11.140625" style="1" customWidth="1"/>
    <col min="3" max="3" width="13.28515625" style="1" customWidth="1"/>
    <col min="4" max="4" width="51.7109375" style="1" customWidth="1"/>
    <col min="5" max="17" width="9.140625" style="1"/>
    <col min="18" max="18" width="17.28515625" style="1" customWidth="1"/>
    <col min="19" max="16384" width="9.140625" style="1"/>
  </cols>
  <sheetData>
    <row r="1" spans="1:18" ht="16.5" x14ac:dyDescent="0.25">
      <c r="A1" s="3" t="s">
        <v>41</v>
      </c>
      <c r="B1" s="3"/>
      <c r="C1" s="4" t="s">
        <v>7</v>
      </c>
      <c r="D1" s="4">
        <v>2023</v>
      </c>
      <c r="R1" s="5">
        <f ca="1">NOW()</f>
        <v>45351.926779861111</v>
      </c>
    </row>
    <row r="2" spans="1:18" ht="6" customHeight="1" x14ac:dyDescent="0.2"/>
    <row r="3" spans="1:18" ht="15" x14ac:dyDescent="0.25">
      <c r="A3" s="7" t="s">
        <v>2</v>
      </c>
    </row>
    <row r="4" spans="1:18" ht="29.25" customHeight="1" x14ac:dyDescent="0.2">
      <c r="A4" s="8" t="s">
        <v>26</v>
      </c>
      <c r="B4" s="49" t="s">
        <v>42</v>
      </c>
      <c r="C4" s="9" t="s">
        <v>6</v>
      </c>
      <c r="D4" s="50" t="s">
        <v>43</v>
      </c>
    </row>
    <row r="5" spans="1:18" x14ac:dyDescent="0.2">
      <c r="A5" s="11">
        <v>45200</v>
      </c>
      <c r="B5" s="12" t="str">
        <f>IF(WEEKDAY(A5)=1, "neděle",IF(WEEKDAY(A5)=2,"pondělí",IF(WEEKDAY(A5)=3,"úterý",IF(WEEKDAY(A5)=4,"středa",IF(WEEKDAY(A5)=5,"čtvrtek",IF(WEEKDAY(A5)=6,"pátek","sobota"))))))</f>
        <v>neděle</v>
      </c>
      <c r="C5" s="51"/>
      <c r="D5" s="52"/>
    </row>
    <row r="6" spans="1:18" x14ac:dyDescent="0.2">
      <c r="A6" s="14">
        <v>45201</v>
      </c>
      <c r="B6" s="53" t="str">
        <f t="shared" ref="B6:B35" si="0">IF(WEEKDAY(A6)=1, "neděle",IF(WEEKDAY(A6)=2,"pondělí",IF(WEEKDAY(A6)=3,"úterý",IF(WEEKDAY(A6)=4,"středa",IF(WEEKDAY(A6)=5,"čtvrtek",IF(WEEKDAY(A6)=6,"pátek","sobota"))))))</f>
        <v>pondělí</v>
      </c>
      <c r="C6" s="54">
        <v>4</v>
      </c>
      <c r="D6" s="55" t="s">
        <v>59</v>
      </c>
    </row>
    <row r="7" spans="1:18" x14ac:dyDescent="0.2">
      <c r="A7" s="11">
        <v>45202</v>
      </c>
      <c r="B7" s="53" t="str">
        <f t="shared" si="0"/>
        <v>úterý</v>
      </c>
      <c r="C7" s="54">
        <v>4</v>
      </c>
      <c r="D7" s="55" t="s">
        <v>59</v>
      </c>
    </row>
    <row r="8" spans="1:18" x14ac:dyDescent="0.2">
      <c r="A8" s="14">
        <v>45203</v>
      </c>
      <c r="B8" s="53" t="str">
        <f t="shared" si="0"/>
        <v>středa</v>
      </c>
      <c r="C8" s="54"/>
      <c r="D8" s="55"/>
    </row>
    <row r="9" spans="1:18" x14ac:dyDescent="0.2">
      <c r="A9" s="11">
        <v>45204</v>
      </c>
      <c r="B9" s="53" t="str">
        <f t="shared" si="0"/>
        <v>čtvrtek</v>
      </c>
      <c r="C9" s="54"/>
      <c r="D9" s="55"/>
    </row>
    <row r="10" spans="1:18" x14ac:dyDescent="0.2">
      <c r="A10" s="14">
        <v>45205</v>
      </c>
      <c r="B10" s="53" t="str">
        <f t="shared" si="0"/>
        <v>pátek</v>
      </c>
      <c r="C10" s="54"/>
      <c r="D10" s="55"/>
    </row>
    <row r="11" spans="1:18" x14ac:dyDescent="0.2">
      <c r="A11" s="11">
        <v>45206</v>
      </c>
      <c r="B11" s="53" t="str">
        <f t="shared" si="0"/>
        <v>sobota</v>
      </c>
      <c r="C11" s="54"/>
      <c r="D11" s="55"/>
    </row>
    <row r="12" spans="1:18" x14ac:dyDescent="0.2">
      <c r="A12" s="14">
        <v>45207</v>
      </c>
      <c r="B12" s="53" t="str">
        <f t="shared" si="0"/>
        <v>neděle</v>
      </c>
      <c r="C12" s="54"/>
      <c r="D12" s="55"/>
    </row>
    <row r="13" spans="1:18" x14ac:dyDescent="0.2">
      <c r="A13" s="11">
        <v>45208</v>
      </c>
      <c r="B13" s="53" t="str">
        <f t="shared" si="0"/>
        <v>pondělí</v>
      </c>
      <c r="C13" s="54">
        <v>4</v>
      </c>
      <c r="D13" s="55" t="s">
        <v>59</v>
      </c>
    </row>
    <row r="14" spans="1:18" x14ac:dyDescent="0.2">
      <c r="A14" s="14">
        <v>45209</v>
      </c>
      <c r="B14" s="53" t="str">
        <f t="shared" si="0"/>
        <v>úterý</v>
      </c>
      <c r="C14" s="54"/>
      <c r="D14" s="55"/>
    </row>
    <row r="15" spans="1:18" x14ac:dyDescent="0.2">
      <c r="A15" s="11">
        <v>45210</v>
      </c>
      <c r="B15" s="53" t="str">
        <f t="shared" si="0"/>
        <v>středa</v>
      </c>
      <c r="C15" s="54"/>
      <c r="D15" s="55"/>
    </row>
    <row r="16" spans="1:18" x14ac:dyDescent="0.2">
      <c r="A16" s="14">
        <v>45211</v>
      </c>
      <c r="B16" s="53" t="str">
        <f t="shared" si="0"/>
        <v>čtvrtek</v>
      </c>
      <c r="C16" s="54"/>
      <c r="D16" s="55"/>
    </row>
    <row r="17" spans="1:4" x14ac:dyDescent="0.2">
      <c r="A17" s="11">
        <v>45212</v>
      </c>
      <c r="B17" s="53" t="str">
        <f t="shared" si="0"/>
        <v>pátek</v>
      </c>
      <c r="C17" s="54"/>
      <c r="D17" s="55"/>
    </row>
    <row r="18" spans="1:4" x14ac:dyDescent="0.2">
      <c r="A18" s="14">
        <v>45213</v>
      </c>
      <c r="B18" s="53" t="str">
        <f t="shared" si="0"/>
        <v>sobota</v>
      </c>
      <c r="C18" s="54">
        <v>4</v>
      </c>
      <c r="D18" s="55" t="s">
        <v>59</v>
      </c>
    </row>
    <row r="19" spans="1:4" x14ac:dyDescent="0.2">
      <c r="A19" s="11">
        <v>45214</v>
      </c>
      <c r="B19" s="53" t="str">
        <f t="shared" si="0"/>
        <v>neděle</v>
      </c>
      <c r="C19" s="54"/>
      <c r="D19" s="55"/>
    </row>
    <row r="20" spans="1:4" x14ac:dyDescent="0.2">
      <c r="A20" s="14">
        <v>45215</v>
      </c>
      <c r="B20" s="53" t="str">
        <f t="shared" si="0"/>
        <v>pondělí</v>
      </c>
      <c r="C20" s="54"/>
      <c r="D20" s="55"/>
    </row>
    <row r="21" spans="1:4" x14ac:dyDescent="0.2">
      <c r="A21" s="11">
        <v>45216</v>
      </c>
      <c r="B21" s="53" t="str">
        <f t="shared" si="0"/>
        <v>úterý</v>
      </c>
      <c r="C21" s="54"/>
      <c r="D21" s="55"/>
    </row>
    <row r="22" spans="1:4" x14ac:dyDescent="0.2">
      <c r="A22" s="14">
        <v>45217</v>
      </c>
      <c r="B22" s="53" t="str">
        <f t="shared" si="0"/>
        <v>středa</v>
      </c>
      <c r="C22" s="54"/>
      <c r="D22" s="55"/>
    </row>
    <row r="23" spans="1:4" x14ac:dyDescent="0.2">
      <c r="A23" s="11">
        <v>45218</v>
      </c>
      <c r="B23" s="53" t="str">
        <f t="shared" si="0"/>
        <v>čtvrtek</v>
      </c>
      <c r="C23" s="54"/>
      <c r="D23" s="55"/>
    </row>
    <row r="24" spans="1:4" x14ac:dyDescent="0.2">
      <c r="A24" s="14">
        <v>45219</v>
      </c>
      <c r="B24" s="53" t="str">
        <f t="shared" si="0"/>
        <v>pátek</v>
      </c>
      <c r="C24" s="54"/>
      <c r="D24" s="55"/>
    </row>
    <row r="25" spans="1:4" x14ac:dyDescent="0.2">
      <c r="A25" s="11">
        <v>45220</v>
      </c>
      <c r="B25" s="53" t="str">
        <f t="shared" si="0"/>
        <v>sobota</v>
      </c>
      <c r="C25" s="54"/>
      <c r="D25" s="55"/>
    </row>
    <row r="26" spans="1:4" x14ac:dyDescent="0.2">
      <c r="A26" s="14">
        <v>45221</v>
      </c>
      <c r="B26" s="53" t="str">
        <f t="shared" si="0"/>
        <v>neděle</v>
      </c>
      <c r="C26" s="54">
        <v>4</v>
      </c>
      <c r="D26" s="55" t="s">
        <v>59</v>
      </c>
    </row>
    <row r="27" spans="1:4" x14ac:dyDescent="0.2">
      <c r="A27" s="11">
        <v>45222</v>
      </c>
      <c r="B27" s="53" t="str">
        <f t="shared" si="0"/>
        <v>pondělí</v>
      </c>
      <c r="C27" s="54"/>
      <c r="D27" s="55"/>
    </row>
    <row r="28" spans="1:4" x14ac:dyDescent="0.2">
      <c r="A28" s="14">
        <v>45223</v>
      </c>
      <c r="B28" s="53" t="str">
        <f t="shared" si="0"/>
        <v>úterý</v>
      </c>
      <c r="C28" s="54"/>
      <c r="D28" s="55"/>
    </row>
    <row r="29" spans="1:4" x14ac:dyDescent="0.2">
      <c r="A29" s="11">
        <v>45224</v>
      </c>
      <c r="B29" s="53" t="str">
        <f t="shared" si="0"/>
        <v>středa</v>
      </c>
      <c r="C29" s="54"/>
      <c r="D29" s="55"/>
    </row>
    <row r="30" spans="1:4" x14ac:dyDescent="0.2">
      <c r="A30" s="14">
        <v>45225</v>
      </c>
      <c r="B30" s="53" t="str">
        <f t="shared" si="0"/>
        <v>čtvrtek</v>
      </c>
      <c r="C30" s="54"/>
      <c r="D30" s="55"/>
    </row>
    <row r="31" spans="1:4" x14ac:dyDescent="0.2">
      <c r="A31" s="11">
        <v>45226</v>
      </c>
      <c r="B31" s="53" t="str">
        <f t="shared" si="0"/>
        <v>pátek</v>
      </c>
      <c r="C31" s="54"/>
      <c r="D31" s="55"/>
    </row>
    <row r="32" spans="1:4" x14ac:dyDescent="0.2">
      <c r="A32" s="14">
        <v>45227</v>
      </c>
      <c r="B32" s="53" t="str">
        <f t="shared" si="0"/>
        <v>sobota</v>
      </c>
      <c r="C32" s="54"/>
      <c r="D32" s="55"/>
    </row>
    <row r="33" spans="1:4" x14ac:dyDescent="0.2">
      <c r="A33" s="11">
        <v>45228</v>
      </c>
      <c r="B33" s="53" t="str">
        <f t="shared" si="0"/>
        <v>neděle</v>
      </c>
      <c r="C33" s="54"/>
      <c r="D33" s="55"/>
    </row>
    <row r="34" spans="1:4" x14ac:dyDescent="0.2">
      <c r="A34" s="14">
        <v>45229</v>
      </c>
      <c r="B34" s="53" t="str">
        <f t="shared" si="0"/>
        <v>pondělí</v>
      </c>
      <c r="C34" s="54"/>
      <c r="D34" s="55"/>
    </row>
    <row r="35" spans="1:4" x14ac:dyDescent="0.2">
      <c r="A35" s="11">
        <v>45230</v>
      </c>
      <c r="B35" s="56" t="str">
        <f t="shared" si="0"/>
        <v>úterý</v>
      </c>
      <c r="C35" s="57"/>
      <c r="D35" s="58"/>
    </row>
    <row r="36" spans="1:4" ht="15.75" customHeight="1" x14ac:dyDescent="0.2">
      <c r="A36" s="81" t="s">
        <v>13</v>
      </c>
      <c r="B36" s="81"/>
      <c r="C36" s="59">
        <f>SUM(C5:C35)</f>
        <v>20</v>
      </c>
      <c r="D36" s="60">
        <f>COUNT(C5:C35)</f>
        <v>5</v>
      </c>
    </row>
    <row r="38" spans="1:4" ht="15" x14ac:dyDescent="0.25">
      <c r="A38" s="7" t="s">
        <v>3</v>
      </c>
    </row>
    <row r="39" spans="1:4" x14ac:dyDescent="0.2">
      <c r="A39" s="61" t="s">
        <v>44</v>
      </c>
      <c r="B39" s="62" t="s">
        <v>26</v>
      </c>
      <c r="C39" s="63" t="s">
        <v>45</v>
      </c>
      <c r="D39" s="64"/>
    </row>
    <row r="40" spans="1:4" x14ac:dyDescent="0.2">
      <c r="A40" s="65"/>
      <c r="B40" s="51"/>
      <c r="C40" s="51"/>
      <c r="D40" s="52"/>
    </row>
    <row r="41" spans="1:4" x14ac:dyDescent="0.2">
      <c r="A41" s="66"/>
      <c r="B41" s="54"/>
      <c r="C41" s="54"/>
      <c r="D41" s="55"/>
    </row>
    <row r="42" spans="1:4" x14ac:dyDescent="0.2">
      <c r="A42" s="66"/>
      <c r="B42" s="54"/>
      <c r="C42" s="54"/>
      <c r="D42" s="55"/>
    </row>
    <row r="43" spans="1:4" x14ac:dyDescent="0.2">
      <c r="A43" s="66"/>
      <c r="B43" s="54"/>
      <c r="C43" s="54"/>
      <c r="D43" s="55"/>
    </row>
    <row r="44" spans="1:4" x14ac:dyDescent="0.2">
      <c r="A44" s="66"/>
      <c r="B44" s="54"/>
      <c r="C44" s="54"/>
      <c r="D44" s="55"/>
    </row>
    <row r="45" spans="1:4" x14ac:dyDescent="0.2">
      <c r="A45" s="66"/>
      <c r="B45" s="54"/>
      <c r="C45" s="54"/>
      <c r="D45" s="55"/>
    </row>
    <row r="46" spans="1:4" x14ac:dyDescent="0.2">
      <c r="A46" s="66"/>
      <c r="B46" s="54"/>
      <c r="C46" s="54"/>
      <c r="D46" s="55"/>
    </row>
    <row r="47" spans="1:4" x14ac:dyDescent="0.2">
      <c r="A47" s="66"/>
      <c r="B47" s="54"/>
      <c r="C47" s="54"/>
      <c r="D47" s="55"/>
    </row>
    <row r="48" spans="1:4" x14ac:dyDescent="0.2">
      <c r="A48" s="66"/>
      <c r="B48" s="54"/>
      <c r="C48" s="54"/>
      <c r="D48" s="55"/>
    </row>
    <row r="49" spans="1:4" x14ac:dyDescent="0.2">
      <c r="A49" s="66"/>
      <c r="B49" s="54"/>
      <c r="C49" s="54"/>
      <c r="D49" s="55"/>
    </row>
    <row r="50" spans="1:4" x14ac:dyDescent="0.2">
      <c r="A50" s="66"/>
      <c r="B50" s="54"/>
      <c r="C50" s="54"/>
      <c r="D50" s="55"/>
    </row>
    <row r="51" spans="1:4" x14ac:dyDescent="0.2">
      <c r="A51" s="66"/>
      <c r="B51" s="54"/>
      <c r="C51" s="54"/>
      <c r="D51" s="55"/>
    </row>
    <row r="52" spans="1:4" x14ac:dyDescent="0.2">
      <c r="A52" s="66"/>
      <c r="B52" s="54"/>
      <c r="C52" s="54"/>
      <c r="D52" s="55"/>
    </row>
    <row r="53" spans="1:4" x14ac:dyDescent="0.2">
      <c r="A53" s="66"/>
      <c r="B53" s="54"/>
      <c r="C53" s="54"/>
      <c r="D53" s="55"/>
    </row>
    <row r="54" spans="1:4" x14ac:dyDescent="0.2">
      <c r="A54" s="66"/>
      <c r="B54" s="54"/>
      <c r="C54" s="54"/>
      <c r="D54" s="55"/>
    </row>
    <row r="55" spans="1:4" x14ac:dyDescent="0.2">
      <c r="A55" s="66"/>
      <c r="B55" s="54"/>
      <c r="C55" s="54"/>
      <c r="D55" s="55"/>
    </row>
    <row r="56" spans="1:4" x14ac:dyDescent="0.2">
      <c r="A56" s="67"/>
      <c r="B56" s="57"/>
      <c r="C56" s="57"/>
      <c r="D56" s="58"/>
    </row>
    <row r="57" spans="1:4" ht="15.75" customHeight="1" x14ac:dyDescent="0.2">
      <c r="A57" s="81" t="s">
        <v>13</v>
      </c>
      <c r="B57" s="81"/>
      <c r="C57" s="59">
        <f>SUM(C40:C56)</f>
        <v>0</v>
      </c>
      <c r="D57" s="60">
        <f>COUNT(C40:C56)</f>
        <v>0</v>
      </c>
    </row>
  </sheetData>
  <mergeCells count="2">
    <mergeCell ref="A36:B36"/>
    <mergeCell ref="A57:B57"/>
  </mergeCells>
  <conditionalFormatting sqref="A5:D35">
    <cfRule type="cellIs" dxfId="19" priority="2" operator="equal">
      <formula>"neděle"</formula>
    </cfRule>
    <cfRule type="cellIs" dxfId="18" priority="3" operator="equal">
      <formula>"sobota"</formula>
    </cfRule>
  </conditionalFormatting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Roman,Běžné"&amp;12&amp;A</oddHeader>
    <oddFooter>&amp;C&amp;"Times New Roman,Běžné"&amp;12Stránka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57"/>
  <sheetViews>
    <sheetView zoomScale="75" zoomScaleNormal="75" workbookViewId="0">
      <selection activeCell="H8" sqref="H8"/>
    </sheetView>
  </sheetViews>
  <sheetFormatPr defaultColWidth="9.140625" defaultRowHeight="12.75" x14ac:dyDescent="0.2"/>
  <cols>
    <col min="1" max="1" width="22.140625" style="1" customWidth="1"/>
    <col min="2" max="2" width="11.140625" style="1" customWidth="1"/>
    <col min="3" max="3" width="13.28515625" style="1" customWidth="1"/>
    <col min="4" max="4" width="51.7109375" style="1" customWidth="1"/>
    <col min="5" max="17" width="9.140625" style="1"/>
    <col min="18" max="18" width="17.28515625" style="1" customWidth="1"/>
    <col min="19" max="16384" width="9.140625" style="1"/>
  </cols>
  <sheetData>
    <row r="1" spans="1:18" ht="16.5" x14ac:dyDescent="0.25">
      <c r="A1" s="3" t="s">
        <v>41</v>
      </c>
      <c r="B1" s="3"/>
      <c r="C1" s="68" t="s">
        <v>8</v>
      </c>
      <c r="D1" s="4">
        <v>2023</v>
      </c>
      <c r="R1" s="5">
        <f ca="1">NOW()</f>
        <v>45351.926779861111</v>
      </c>
    </row>
    <row r="2" spans="1:18" ht="6" customHeight="1" x14ac:dyDescent="0.2"/>
    <row r="3" spans="1:18" ht="15" x14ac:dyDescent="0.25">
      <c r="A3" s="7" t="s">
        <v>2</v>
      </c>
    </row>
    <row r="4" spans="1:18" ht="29.25" customHeight="1" x14ac:dyDescent="0.2">
      <c r="A4" s="8" t="s">
        <v>26</v>
      </c>
      <c r="B4" s="49" t="s">
        <v>42</v>
      </c>
      <c r="C4" s="9" t="s">
        <v>6</v>
      </c>
      <c r="D4" s="50" t="s">
        <v>43</v>
      </c>
    </row>
    <row r="5" spans="1:18" x14ac:dyDescent="0.2">
      <c r="A5" s="11">
        <v>45231</v>
      </c>
      <c r="B5" s="12" t="str">
        <f t="shared" ref="B5:B34" si="0">IF(WEEKDAY(A5)=1, "neděle",IF(WEEKDAY(A5)=2,"pondělí",IF(WEEKDAY(A5)=3,"úterý",IF(WEEKDAY(A5)=4,"středa",IF(WEEKDAY(A5)=5,"čtvrtek",IF(WEEKDAY(A5)=6,"pátek","sobota"))))))</f>
        <v>středa</v>
      </c>
      <c r="C5" s="51"/>
      <c r="D5" s="52"/>
    </row>
    <row r="6" spans="1:18" x14ac:dyDescent="0.2">
      <c r="A6" s="14">
        <v>45232</v>
      </c>
      <c r="B6" s="53" t="str">
        <f t="shared" si="0"/>
        <v>čtvrtek</v>
      </c>
      <c r="C6" s="54"/>
      <c r="D6" s="55"/>
    </row>
    <row r="7" spans="1:18" x14ac:dyDescent="0.2">
      <c r="A7" s="11">
        <v>45233</v>
      </c>
      <c r="B7" s="53" t="str">
        <f t="shared" si="0"/>
        <v>pátek</v>
      </c>
      <c r="C7" s="54"/>
      <c r="D7" s="55"/>
    </row>
    <row r="8" spans="1:18" x14ac:dyDescent="0.2">
      <c r="A8" s="14">
        <v>45234</v>
      </c>
      <c r="B8" s="53" t="str">
        <f t="shared" si="0"/>
        <v>sobota</v>
      </c>
      <c r="C8" s="54">
        <v>10</v>
      </c>
      <c r="D8" s="55" t="s">
        <v>63</v>
      </c>
    </row>
    <row r="9" spans="1:18" x14ac:dyDescent="0.2">
      <c r="A9" s="11">
        <v>45235</v>
      </c>
      <c r="B9" s="53" t="str">
        <f t="shared" si="0"/>
        <v>neděle</v>
      </c>
      <c r="C9" s="54">
        <v>2</v>
      </c>
      <c r="D9" s="55" t="s">
        <v>59</v>
      </c>
    </row>
    <row r="10" spans="1:18" x14ac:dyDescent="0.2">
      <c r="A10" s="14">
        <v>45236</v>
      </c>
      <c r="B10" s="53" t="str">
        <f t="shared" si="0"/>
        <v>pondělí</v>
      </c>
      <c r="C10" s="54">
        <v>1</v>
      </c>
      <c r="D10" s="55" t="s">
        <v>59</v>
      </c>
    </row>
    <row r="11" spans="1:18" x14ac:dyDescent="0.2">
      <c r="A11" s="11">
        <v>45237</v>
      </c>
      <c r="B11" s="53" t="str">
        <f t="shared" si="0"/>
        <v>úterý</v>
      </c>
      <c r="C11" s="54">
        <v>1</v>
      </c>
      <c r="D11" s="55" t="s">
        <v>59</v>
      </c>
    </row>
    <row r="12" spans="1:18" x14ac:dyDescent="0.2">
      <c r="A12" s="14">
        <v>45238</v>
      </c>
      <c r="B12" s="53" t="str">
        <f t="shared" si="0"/>
        <v>středa</v>
      </c>
      <c r="C12" s="54">
        <v>1</v>
      </c>
      <c r="D12" s="55" t="s">
        <v>59</v>
      </c>
    </row>
    <row r="13" spans="1:18" x14ac:dyDescent="0.2">
      <c r="A13" s="11">
        <v>45239</v>
      </c>
      <c r="B13" s="53" t="str">
        <f t="shared" si="0"/>
        <v>čtvrtek</v>
      </c>
      <c r="C13" s="54">
        <v>1</v>
      </c>
      <c r="D13" s="55" t="s">
        <v>59</v>
      </c>
    </row>
    <row r="14" spans="1:18" x14ac:dyDescent="0.2">
      <c r="A14" s="14">
        <v>45240</v>
      </c>
      <c r="B14" s="53" t="str">
        <f t="shared" si="0"/>
        <v>pátek</v>
      </c>
      <c r="C14" s="54">
        <v>1</v>
      </c>
      <c r="D14" s="55" t="s">
        <v>59</v>
      </c>
    </row>
    <row r="15" spans="1:18" x14ac:dyDescent="0.2">
      <c r="A15" s="11">
        <v>45241</v>
      </c>
      <c r="B15" s="53" t="str">
        <f t="shared" si="0"/>
        <v>sobota</v>
      </c>
      <c r="C15" s="54">
        <v>1</v>
      </c>
      <c r="D15" s="55" t="s">
        <v>59</v>
      </c>
    </row>
    <row r="16" spans="1:18" x14ac:dyDescent="0.2">
      <c r="A16" s="14">
        <v>45242</v>
      </c>
      <c r="B16" s="53" t="str">
        <f t="shared" si="0"/>
        <v>neděle</v>
      </c>
      <c r="C16" s="54">
        <v>1</v>
      </c>
      <c r="D16" s="55" t="s">
        <v>59</v>
      </c>
    </row>
    <row r="17" spans="1:4" x14ac:dyDescent="0.2">
      <c r="A17" s="11">
        <v>45243</v>
      </c>
      <c r="B17" s="53" t="str">
        <f t="shared" si="0"/>
        <v>pondělí</v>
      </c>
      <c r="C17" s="54">
        <v>1</v>
      </c>
      <c r="D17" s="55" t="s">
        <v>59</v>
      </c>
    </row>
    <row r="18" spans="1:4" x14ac:dyDescent="0.2">
      <c r="A18" s="14">
        <v>45244</v>
      </c>
      <c r="B18" s="53" t="str">
        <f t="shared" si="0"/>
        <v>úterý</v>
      </c>
      <c r="C18" s="54"/>
      <c r="D18" s="55"/>
    </row>
    <row r="19" spans="1:4" x14ac:dyDescent="0.2">
      <c r="A19" s="11">
        <v>45245</v>
      </c>
      <c r="B19" s="53" t="str">
        <f t="shared" si="0"/>
        <v>středa</v>
      </c>
      <c r="C19" s="54"/>
      <c r="D19" s="55"/>
    </row>
    <row r="20" spans="1:4" x14ac:dyDescent="0.2">
      <c r="A20" s="14">
        <v>45246</v>
      </c>
      <c r="B20" s="53" t="str">
        <f t="shared" si="0"/>
        <v>čtvrtek</v>
      </c>
      <c r="C20" s="54"/>
      <c r="D20" s="55"/>
    </row>
    <row r="21" spans="1:4" x14ac:dyDescent="0.2">
      <c r="A21" s="11">
        <v>45247</v>
      </c>
      <c r="B21" s="53" t="str">
        <f t="shared" si="0"/>
        <v>pátek</v>
      </c>
      <c r="C21" s="54"/>
      <c r="D21" s="55"/>
    </row>
    <row r="22" spans="1:4" x14ac:dyDescent="0.2">
      <c r="A22" s="14">
        <v>45248</v>
      </c>
      <c r="B22" s="53" t="str">
        <f t="shared" si="0"/>
        <v>sobota</v>
      </c>
      <c r="C22" s="54"/>
      <c r="D22" s="55"/>
    </row>
    <row r="23" spans="1:4" x14ac:dyDescent="0.2">
      <c r="A23" s="11">
        <v>45249</v>
      </c>
      <c r="B23" s="53" t="str">
        <f t="shared" si="0"/>
        <v>neděle</v>
      </c>
      <c r="C23" s="54"/>
      <c r="D23" s="55"/>
    </row>
    <row r="24" spans="1:4" x14ac:dyDescent="0.2">
      <c r="A24" s="14">
        <v>45250</v>
      </c>
      <c r="B24" s="53" t="str">
        <f t="shared" si="0"/>
        <v>pondělí</v>
      </c>
      <c r="C24" s="54"/>
      <c r="D24" s="55"/>
    </row>
    <row r="25" spans="1:4" x14ac:dyDescent="0.2">
      <c r="A25" s="11">
        <v>45251</v>
      </c>
      <c r="B25" s="53" t="str">
        <f t="shared" si="0"/>
        <v>úterý</v>
      </c>
      <c r="C25" s="54"/>
      <c r="D25" s="55"/>
    </row>
    <row r="26" spans="1:4" x14ac:dyDescent="0.2">
      <c r="A26" s="14">
        <v>45252</v>
      </c>
      <c r="B26" s="53" t="str">
        <f t="shared" si="0"/>
        <v>středa</v>
      </c>
      <c r="C26" s="54"/>
      <c r="D26" s="55"/>
    </row>
    <row r="27" spans="1:4" x14ac:dyDescent="0.2">
      <c r="A27" s="11">
        <v>45253</v>
      </c>
      <c r="B27" s="53" t="str">
        <f t="shared" si="0"/>
        <v>čtvrtek</v>
      </c>
      <c r="C27" s="54"/>
      <c r="D27" s="55"/>
    </row>
    <row r="28" spans="1:4" x14ac:dyDescent="0.2">
      <c r="A28" s="14">
        <v>45254</v>
      </c>
      <c r="B28" s="53" t="str">
        <f t="shared" si="0"/>
        <v>pátek</v>
      </c>
      <c r="C28" s="54"/>
      <c r="D28" s="55"/>
    </row>
    <row r="29" spans="1:4" x14ac:dyDescent="0.2">
      <c r="A29" s="11">
        <v>45255</v>
      </c>
      <c r="B29" s="53" t="str">
        <f t="shared" si="0"/>
        <v>sobota</v>
      </c>
      <c r="C29" s="54"/>
      <c r="D29" s="55"/>
    </row>
    <row r="30" spans="1:4" x14ac:dyDescent="0.2">
      <c r="A30" s="14">
        <v>45256</v>
      </c>
      <c r="B30" s="53" t="str">
        <f t="shared" si="0"/>
        <v>neděle</v>
      </c>
      <c r="C30" s="54"/>
      <c r="D30" s="55"/>
    </row>
    <row r="31" spans="1:4" x14ac:dyDescent="0.2">
      <c r="A31" s="11">
        <v>45257</v>
      </c>
      <c r="B31" s="53" t="str">
        <f t="shared" si="0"/>
        <v>pondělí</v>
      </c>
      <c r="C31" s="54"/>
      <c r="D31" s="55"/>
    </row>
    <row r="32" spans="1:4" x14ac:dyDescent="0.2">
      <c r="A32" s="14">
        <v>45258</v>
      </c>
      <c r="B32" s="53" t="str">
        <f t="shared" si="0"/>
        <v>úterý</v>
      </c>
      <c r="C32" s="54"/>
      <c r="D32" s="55"/>
    </row>
    <row r="33" spans="1:4" x14ac:dyDescent="0.2">
      <c r="A33" s="11">
        <v>45259</v>
      </c>
      <c r="B33" s="53" t="str">
        <f t="shared" si="0"/>
        <v>středa</v>
      </c>
      <c r="C33" s="54"/>
      <c r="D33" s="55"/>
    </row>
    <row r="34" spans="1:4" x14ac:dyDescent="0.2">
      <c r="A34" s="14">
        <v>45260</v>
      </c>
      <c r="B34" s="56" t="str">
        <f t="shared" si="0"/>
        <v>čtvrtek</v>
      </c>
      <c r="C34" s="57"/>
      <c r="D34" s="58"/>
    </row>
    <row r="35" spans="1:4" x14ac:dyDescent="0.2">
      <c r="A35" s="14"/>
      <c r="B35" s="56"/>
      <c r="C35" s="57"/>
      <c r="D35" s="58"/>
    </row>
    <row r="36" spans="1:4" ht="15.75" customHeight="1" x14ac:dyDescent="0.2">
      <c r="A36" s="81" t="s">
        <v>13</v>
      </c>
      <c r="B36" s="81"/>
      <c r="C36" s="59">
        <f>SUM(C5:C34)</f>
        <v>20</v>
      </c>
      <c r="D36" s="60">
        <f>COUNT(C5:C34)</f>
        <v>10</v>
      </c>
    </row>
    <row r="38" spans="1:4" ht="15" x14ac:dyDescent="0.25">
      <c r="A38" s="7" t="s">
        <v>3</v>
      </c>
    </row>
    <row r="39" spans="1:4" x14ac:dyDescent="0.2">
      <c r="A39" s="61" t="s">
        <v>44</v>
      </c>
      <c r="B39" s="62" t="s">
        <v>26</v>
      </c>
      <c r="C39" s="63" t="s">
        <v>45</v>
      </c>
      <c r="D39" s="64"/>
    </row>
    <row r="40" spans="1:4" x14ac:dyDescent="0.2">
      <c r="A40" s="65"/>
      <c r="B40" s="51"/>
      <c r="C40" s="51"/>
      <c r="D40" s="52"/>
    </row>
    <row r="41" spans="1:4" x14ac:dyDescent="0.2">
      <c r="A41" s="66"/>
      <c r="B41" s="54"/>
      <c r="C41" s="54"/>
      <c r="D41" s="55"/>
    </row>
    <row r="42" spans="1:4" x14ac:dyDescent="0.2">
      <c r="A42" s="66"/>
      <c r="B42" s="54"/>
      <c r="C42" s="54"/>
      <c r="D42" s="55"/>
    </row>
    <row r="43" spans="1:4" x14ac:dyDescent="0.2">
      <c r="A43" s="66"/>
      <c r="B43" s="54"/>
      <c r="C43" s="54"/>
      <c r="D43" s="55"/>
    </row>
    <row r="44" spans="1:4" x14ac:dyDescent="0.2">
      <c r="A44" s="66"/>
      <c r="B44" s="54"/>
      <c r="C44" s="54"/>
      <c r="D44" s="55"/>
    </row>
    <row r="45" spans="1:4" x14ac:dyDescent="0.2">
      <c r="A45" s="66"/>
      <c r="B45" s="54"/>
      <c r="C45" s="54"/>
      <c r="D45" s="55"/>
    </row>
    <row r="46" spans="1:4" x14ac:dyDescent="0.2">
      <c r="A46" s="66"/>
      <c r="B46" s="54"/>
      <c r="C46" s="54"/>
      <c r="D46" s="55"/>
    </row>
    <row r="47" spans="1:4" x14ac:dyDescent="0.2">
      <c r="A47" s="66"/>
      <c r="B47" s="54"/>
      <c r="C47" s="54"/>
      <c r="D47" s="55"/>
    </row>
    <row r="48" spans="1:4" x14ac:dyDescent="0.2">
      <c r="A48" s="66"/>
      <c r="B48" s="54"/>
      <c r="C48" s="54"/>
      <c r="D48" s="55"/>
    </row>
    <row r="49" spans="1:4" x14ac:dyDescent="0.2">
      <c r="A49" s="66"/>
      <c r="B49" s="54"/>
      <c r="C49" s="54"/>
      <c r="D49" s="55"/>
    </row>
    <row r="50" spans="1:4" x14ac:dyDescent="0.2">
      <c r="A50" s="66"/>
      <c r="B50" s="54"/>
      <c r="C50" s="54"/>
      <c r="D50" s="55"/>
    </row>
    <row r="51" spans="1:4" x14ac:dyDescent="0.2">
      <c r="A51" s="66"/>
      <c r="B51" s="54"/>
      <c r="C51" s="54"/>
      <c r="D51" s="55"/>
    </row>
    <row r="52" spans="1:4" x14ac:dyDescent="0.2">
      <c r="A52" s="66"/>
      <c r="B52" s="54"/>
      <c r="C52" s="54"/>
      <c r="D52" s="55"/>
    </row>
    <row r="53" spans="1:4" x14ac:dyDescent="0.2">
      <c r="A53" s="66"/>
      <c r="B53" s="54"/>
      <c r="C53" s="54"/>
      <c r="D53" s="55"/>
    </row>
    <row r="54" spans="1:4" x14ac:dyDescent="0.2">
      <c r="A54" s="66"/>
      <c r="B54" s="54"/>
      <c r="C54" s="54"/>
      <c r="D54" s="55"/>
    </row>
    <row r="55" spans="1:4" x14ac:dyDescent="0.2">
      <c r="A55" s="66"/>
      <c r="B55" s="54"/>
      <c r="C55" s="54"/>
      <c r="D55" s="55"/>
    </row>
    <row r="56" spans="1:4" x14ac:dyDescent="0.2">
      <c r="A56" s="67"/>
      <c r="B56" s="57"/>
      <c r="C56" s="57"/>
      <c r="D56" s="58"/>
    </row>
    <row r="57" spans="1:4" ht="15.75" customHeight="1" x14ac:dyDescent="0.2">
      <c r="A57" s="81" t="s">
        <v>13</v>
      </c>
      <c r="B57" s="81"/>
      <c r="C57" s="59">
        <f>SUM(C40:C56)</f>
        <v>0</v>
      </c>
      <c r="D57" s="60">
        <f>COUNT(C40:C56)</f>
        <v>0</v>
      </c>
    </row>
  </sheetData>
  <mergeCells count="2">
    <mergeCell ref="A36:B36"/>
    <mergeCell ref="A57:B57"/>
  </mergeCells>
  <conditionalFormatting sqref="A5:D35">
    <cfRule type="cellIs" dxfId="17" priority="2" operator="equal">
      <formula>"neděle"</formula>
    </cfRule>
    <cfRule type="cellIs" dxfId="16" priority="3" operator="equal">
      <formula>"sobota"</formula>
    </cfRule>
  </conditionalFormatting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Roman,Běžné"&amp;12&amp;A</oddHeader>
    <oddFooter>&amp;C&amp;"Times New Roman,Běžné"&amp;12Stránka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57"/>
  <sheetViews>
    <sheetView zoomScale="75" zoomScaleNormal="75" workbookViewId="0">
      <selection activeCell="L13" sqref="L13"/>
    </sheetView>
  </sheetViews>
  <sheetFormatPr defaultColWidth="9.140625" defaultRowHeight="12.75" x14ac:dyDescent="0.2"/>
  <cols>
    <col min="1" max="1" width="26.85546875" style="1" customWidth="1"/>
    <col min="2" max="2" width="11.140625" style="1" customWidth="1"/>
    <col min="3" max="3" width="13.28515625" style="1" customWidth="1"/>
    <col min="4" max="4" width="51.7109375" style="1" customWidth="1"/>
    <col min="5" max="17" width="9.140625" style="1"/>
    <col min="18" max="18" width="17.28515625" style="1" customWidth="1"/>
    <col min="19" max="16384" width="9.140625" style="1"/>
  </cols>
  <sheetData>
    <row r="1" spans="1:18" ht="16.5" x14ac:dyDescent="0.25">
      <c r="A1" s="3" t="s">
        <v>41</v>
      </c>
      <c r="B1" s="3"/>
      <c r="C1" s="4" t="s">
        <v>9</v>
      </c>
      <c r="D1" s="4">
        <v>2023</v>
      </c>
      <c r="R1" s="5">
        <f ca="1">NOW()</f>
        <v>45351.926779861111</v>
      </c>
    </row>
    <row r="2" spans="1:18" ht="6" customHeight="1" x14ac:dyDescent="0.2"/>
    <row r="3" spans="1:18" ht="15" x14ac:dyDescent="0.25">
      <c r="A3" s="7" t="s">
        <v>2</v>
      </c>
    </row>
    <row r="4" spans="1:18" ht="29.25" customHeight="1" x14ac:dyDescent="0.2">
      <c r="A4" s="8" t="s">
        <v>26</v>
      </c>
      <c r="B4" s="49" t="s">
        <v>42</v>
      </c>
      <c r="C4" s="9" t="s">
        <v>6</v>
      </c>
      <c r="D4" s="50" t="s">
        <v>43</v>
      </c>
    </row>
    <row r="5" spans="1:18" x14ac:dyDescent="0.2">
      <c r="A5" s="11">
        <v>45261</v>
      </c>
      <c r="B5" s="12" t="str">
        <f t="shared" ref="B5:B35" si="0">IF(WEEKDAY(A5)=1, "neděle",IF(WEEKDAY(A5)=2,"pondělí",IF(WEEKDAY(A5)=3,"úterý",IF(WEEKDAY(A5)=4,"středa",IF(WEEKDAY(A5)=5,"čtvrtek",IF(WEEKDAY(A5)=6,"pátek","sobota"))))))</f>
        <v>pátek</v>
      </c>
      <c r="C5" s="51"/>
      <c r="D5" s="52"/>
    </row>
    <row r="6" spans="1:18" x14ac:dyDescent="0.2">
      <c r="A6" s="14">
        <v>45262</v>
      </c>
      <c r="B6" s="53" t="str">
        <f t="shared" si="0"/>
        <v>sobota</v>
      </c>
      <c r="C6" s="54"/>
      <c r="D6" s="55"/>
    </row>
    <row r="7" spans="1:18" x14ac:dyDescent="0.2">
      <c r="A7" s="11">
        <v>45263</v>
      </c>
      <c r="B7" s="53" t="str">
        <f t="shared" si="0"/>
        <v>neděle</v>
      </c>
      <c r="C7" s="54"/>
      <c r="D7" s="55"/>
    </row>
    <row r="8" spans="1:18" x14ac:dyDescent="0.2">
      <c r="A8" s="14">
        <v>45264</v>
      </c>
      <c r="B8" s="53" t="str">
        <f t="shared" si="0"/>
        <v>pondělí</v>
      </c>
      <c r="C8" s="54">
        <v>3</v>
      </c>
      <c r="D8" s="55" t="s">
        <v>60</v>
      </c>
    </row>
    <row r="9" spans="1:18" x14ac:dyDescent="0.2">
      <c r="A9" s="11">
        <v>45265</v>
      </c>
      <c r="B9" s="53" t="str">
        <f t="shared" si="0"/>
        <v>úterý</v>
      </c>
      <c r="C9" s="54"/>
      <c r="D9" s="55"/>
    </row>
    <row r="10" spans="1:18" x14ac:dyDescent="0.2">
      <c r="A10" s="14">
        <v>45266</v>
      </c>
      <c r="B10" s="53" t="str">
        <f t="shared" si="0"/>
        <v>středa</v>
      </c>
      <c r="C10" s="54"/>
      <c r="D10" s="55"/>
    </row>
    <row r="11" spans="1:18" x14ac:dyDescent="0.2">
      <c r="A11" s="11">
        <v>45267</v>
      </c>
      <c r="B11" s="53" t="str">
        <f t="shared" si="0"/>
        <v>čtvrtek</v>
      </c>
      <c r="C11" s="54">
        <v>3</v>
      </c>
      <c r="D11" s="55" t="s">
        <v>60</v>
      </c>
    </row>
    <row r="12" spans="1:18" x14ac:dyDescent="0.2">
      <c r="A12" s="14">
        <v>45268</v>
      </c>
      <c r="B12" s="53" t="str">
        <f t="shared" si="0"/>
        <v>pátek</v>
      </c>
      <c r="C12" s="54"/>
      <c r="D12" s="55"/>
    </row>
    <row r="13" spans="1:18" x14ac:dyDescent="0.2">
      <c r="A13" s="11">
        <v>45269</v>
      </c>
      <c r="B13" s="53" t="str">
        <f t="shared" si="0"/>
        <v>sobota</v>
      </c>
      <c r="C13" s="54"/>
      <c r="D13" s="55"/>
    </row>
    <row r="14" spans="1:18" x14ac:dyDescent="0.2">
      <c r="A14" s="14">
        <v>45270</v>
      </c>
      <c r="B14" s="53" t="str">
        <f t="shared" si="0"/>
        <v>neděle</v>
      </c>
      <c r="C14" s="54">
        <v>3</v>
      </c>
      <c r="D14" s="55" t="s">
        <v>60</v>
      </c>
    </row>
    <row r="15" spans="1:18" x14ac:dyDescent="0.2">
      <c r="A15" s="11">
        <v>45271</v>
      </c>
      <c r="B15" s="53" t="str">
        <f t="shared" si="0"/>
        <v>pondělí</v>
      </c>
      <c r="C15" s="54"/>
      <c r="D15" s="55"/>
    </row>
    <row r="16" spans="1:18" x14ac:dyDescent="0.2">
      <c r="A16" s="14">
        <v>45272</v>
      </c>
      <c r="B16" s="53" t="str">
        <f t="shared" si="0"/>
        <v>úterý</v>
      </c>
      <c r="C16" s="54">
        <v>3</v>
      </c>
      <c r="D16" s="55" t="s">
        <v>60</v>
      </c>
    </row>
    <row r="17" spans="1:4" x14ac:dyDescent="0.2">
      <c r="A17" s="11">
        <v>45273</v>
      </c>
      <c r="B17" s="53" t="str">
        <f t="shared" si="0"/>
        <v>středa</v>
      </c>
      <c r="C17" s="54"/>
      <c r="D17" s="55"/>
    </row>
    <row r="18" spans="1:4" x14ac:dyDescent="0.2">
      <c r="A18" s="14">
        <v>45274</v>
      </c>
      <c r="B18" s="53" t="str">
        <f t="shared" si="0"/>
        <v>čtvrtek</v>
      </c>
      <c r="C18" s="54"/>
      <c r="D18" s="55"/>
    </row>
    <row r="19" spans="1:4" x14ac:dyDescent="0.2">
      <c r="A19" s="11">
        <v>45275</v>
      </c>
      <c r="B19" s="53" t="str">
        <f t="shared" si="0"/>
        <v>pátek</v>
      </c>
      <c r="C19" s="54"/>
      <c r="D19" s="55"/>
    </row>
    <row r="20" spans="1:4" x14ac:dyDescent="0.2">
      <c r="A20" s="14">
        <v>45276</v>
      </c>
      <c r="B20" s="53" t="str">
        <f t="shared" si="0"/>
        <v>sobota</v>
      </c>
      <c r="C20" s="54">
        <v>3</v>
      </c>
      <c r="D20" s="55" t="s">
        <v>60</v>
      </c>
    </row>
    <row r="21" spans="1:4" x14ac:dyDescent="0.2">
      <c r="A21" s="11">
        <v>45277</v>
      </c>
      <c r="B21" s="53" t="str">
        <f t="shared" si="0"/>
        <v>neděle</v>
      </c>
      <c r="C21" s="54"/>
      <c r="D21" s="55"/>
    </row>
    <row r="22" spans="1:4" x14ac:dyDescent="0.2">
      <c r="A22" s="14">
        <v>45278</v>
      </c>
      <c r="B22" s="53" t="str">
        <f t="shared" si="0"/>
        <v>pondělí</v>
      </c>
      <c r="C22" s="54"/>
      <c r="D22" s="55"/>
    </row>
    <row r="23" spans="1:4" x14ac:dyDescent="0.2">
      <c r="A23" s="11">
        <v>45279</v>
      </c>
      <c r="B23" s="53" t="str">
        <f t="shared" si="0"/>
        <v>úterý</v>
      </c>
      <c r="C23" s="54"/>
      <c r="D23" s="55"/>
    </row>
    <row r="24" spans="1:4" x14ac:dyDescent="0.2">
      <c r="A24" s="14">
        <v>45280</v>
      </c>
      <c r="B24" s="53" t="str">
        <f t="shared" si="0"/>
        <v>středa</v>
      </c>
      <c r="C24" s="54"/>
      <c r="D24" s="55"/>
    </row>
    <row r="25" spans="1:4" x14ac:dyDescent="0.2">
      <c r="A25" s="11">
        <v>45281</v>
      </c>
      <c r="B25" s="53" t="str">
        <f t="shared" si="0"/>
        <v>čtvrtek</v>
      </c>
      <c r="C25" s="54"/>
      <c r="D25" s="55"/>
    </row>
    <row r="26" spans="1:4" x14ac:dyDescent="0.2">
      <c r="A26" s="14">
        <v>45282</v>
      </c>
      <c r="B26" s="53" t="str">
        <f t="shared" si="0"/>
        <v>pátek</v>
      </c>
      <c r="C26" s="54"/>
      <c r="D26" s="55"/>
    </row>
    <row r="27" spans="1:4" x14ac:dyDescent="0.2">
      <c r="A27" s="11">
        <v>45283</v>
      </c>
      <c r="B27" s="53" t="str">
        <f t="shared" si="0"/>
        <v>sobota</v>
      </c>
      <c r="C27" s="54"/>
      <c r="D27" s="55"/>
    </row>
    <row r="28" spans="1:4" x14ac:dyDescent="0.2">
      <c r="A28" s="14">
        <v>45284</v>
      </c>
      <c r="B28" s="53" t="str">
        <f t="shared" si="0"/>
        <v>neděle</v>
      </c>
      <c r="C28" s="54">
        <v>3</v>
      </c>
      <c r="D28" s="55" t="s">
        <v>60</v>
      </c>
    </row>
    <row r="29" spans="1:4" x14ac:dyDescent="0.2">
      <c r="A29" s="11">
        <v>45285</v>
      </c>
      <c r="B29" s="53" t="str">
        <f t="shared" si="0"/>
        <v>pondělí</v>
      </c>
      <c r="C29" s="54"/>
      <c r="D29" s="55"/>
    </row>
    <row r="30" spans="1:4" x14ac:dyDescent="0.2">
      <c r="A30" s="14">
        <v>45286</v>
      </c>
      <c r="B30" s="53" t="str">
        <f t="shared" si="0"/>
        <v>úterý</v>
      </c>
      <c r="C30" s="54"/>
      <c r="D30" s="55"/>
    </row>
    <row r="31" spans="1:4" x14ac:dyDescent="0.2">
      <c r="A31" s="11">
        <v>45287</v>
      </c>
      <c r="B31" s="53" t="str">
        <f t="shared" si="0"/>
        <v>středa</v>
      </c>
      <c r="C31" s="54">
        <v>3</v>
      </c>
      <c r="D31" s="55" t="s">
        <v>60</v>
      </c>
    </row>
    <row r="32" spans="1:4" x14ac:dyDescent="0.2">
      <c r="A32" s="14">
        <v>45288</v>
      </c>
      <c r="B32" s="53" t="str">
        <f t="shared" si="0"/>
        <v>čtvrtek</v>
      </c>
      <c r="C32" s="54"/>
      <c r="D32" s="55"/>
    </row>
    <row r="33" spans="1:4" x14ac:dyDescent="0.2">
      <c r="A33" s="11">
        <v>45289</v>
      </c>
      <c r="B33" s="53" t="str">
        <f t="shared" si="0"/>
        <v>pátek</v>
      </c>
      <c r="C33" s="54">
        <v>3</v>
      </c>
      <c r="D33" s="55" t="s">
        <v>60</v>
      </c>
    </row>
    <row r="34" spans="1:4" x14ac:dyDescent="0.2">
      <c r="A34" s="14">
        <v>45290</v>
      </c>
      <c r="B34" s="53" t="str">
        <f t="shared" si="0"/>
        <v>sobota</v>
      </c>
      <c r="C34" s="54"/>
      <c r="D34" s="55"/>
    </row>
    <row r="35" spans="1:4" x14ac:dyDescent="0.2">
      <c r="A35" s="11">
        <v>45291</v>
      </c>
      <c r="B35" s="56" t="str">
        <f t="shared" si="0"/>
        <v>neděle</v>
      </c>
      <c r="C35" s="57"/>
      <c r="D35" s="58"/>
    </row>
    <row r="36" spans="1:4" ht="15.75" customHeight="1" x14ac:dyDescent="0.2">
      <c r="A36" s="81" t="s">
        <v>13</v>
      </c>
      <c r="B36" s="81"/>
      <c r="C36" s="59">
        <f>SUM(C5:C35)</f>
        <v>24</v>
      </c>
      <c r="D36" s="60">
        <f>COUNT(C5:C35)</f>
        <v>8</v>
      </c>
    </row>
    <row r="38" spans="1:4" ht="15" x14ac:dyDescent="0.25">
      <c r="A38" s="7" t="s">
        <v>3</v>
      </c>
    </row>
    <row r="39" spans="1:4" x14ac:dyDescent="0.2">
      <c r="A39" s="61" t="s">
        <v>44</v>
      </c>
      <c r="B39" s="62" t="s">
        <v>26</v>
      </c>
      <c r="C39" s="63" t="s">
        <v>45</v>
      </c>
      <c r="D39" s="64"/>
    </row>
    <row r="40" spans="1:4" x14ac:dyDescent="0.2">
      <c r="A40" s="65" t="s">
        <v>64</v>
      </c>
      <c r="B40" s="11">
        <v>45275</v>
      </c>
      <c r="C40" s="51">
        <v>1</v>
      </c>
      <c r="D40" s="52" t="s">
        <v>65</v>
      </c>
    </row>
    <row r="41" spans="1:4" x14ac:dyDescent="0.2">
      <c r="A41" s="66"/>
      <c r="B41" s="54"/>
      <c r="C41" s="54"/>
      <c r="D41" s="55"/>
    </row>
    <row r="42" spans="1:4" x14ac:dyDescent="0.2">
      <c r="A42" s="66"/>
      <c r="B42" s="54"/>
      <c r="C42" s="54"/>
      <c r="D42" s="55"/>
    </row>
    <row r="43" spans="1:4" x14ac:dyDescent="0.2">
      <c r="A43" s="66"/>
      <c r="B43" s="54"/>
      <c r="C43" s="54"/>
      <c r="D43" s="55"/>
    </row>
    <row r="44" spans="1:4" x14ac:dyDescent="0.2">
      <c r="A44" s="66"/>
      <c r="B44" s="54"/>
      <c r="C44" s="54"/>
      <c r="D44" s="55"/>
    </row>
    <row r="45" spans="1:4" x14ac:dyDescent="0.2">
      <c r="A45" s="66"/>
      <c r="B45" s="54"/>
      <c r="C45" s="54"/>
      <c r="D45" s="55"/>
    </row>
    <row r="46" spans="1:4" x14ac:dyDescent="0.2">
      <c r="A46" s="66"/>
      <c r="B46" s="54"/>
      <c r="C46" s="54"/>
      <c r="D46" s="55"/>
    </row>
    <row r="47" spans="1:4" x14ac:dyDescent="0.2">
      <c r="A47" s="66"/>
      <c r="B47" s="54"/>
      <c r="C47" s="54"/>
      <c r="D47" s="55"/>
    </row>
    <row r="48" spans="1:4" x14ac:dyDescent="0.2">
      <c r="A48" s="66"/>
      <c r="B48" s="54"/>
      <c r="C48" s="54"/>
      <c r="D48" s="55"/>
    </row>
    <row r="49" spans="1:4" x14ac:dyDescent="0.2">
      <c r="A49" s="66"/>
      <c r="B49" s="54"/>
      <c r="C49" s="54"/>
      <c r="D49" s="55"/>
    </row>
    <row r="50" spans="1:4" x14ac:dyDescent="0.2">
      <c r="A50" s="66"/>
      <c r="B50" s="54"/>
      <c r="C50" s="54"/>
      <c r="D50" s="55"/>
    </row>
    <row r="51" spans="1:4" x14ac:dyDescent="0.2">
      <c r="A51" s="66"/>
      <c r="B51" s="54"/>
      <c r="C51" s="54"/>
      <c r="D51" s="55"/>
    </row>
    <row r="52" spans="1:4" x14ac:dyDescent="0.2">
      <c r="A52" s="66"/>
      <c r="B52" s="54"/>
      <c r="C52" s="54"/>
      <c r="D52" s="55"/>
    </row>
    <row r="53" spans="1:4" x14ac:dyDescent="0.2">
      <c r="A53" s="66"/>
      <c r="B53" s="54"/>
      <c r="C53" s="54"/>
      <c r="D53" s="55"/>
    </row>
    <row r="54" spans="1:4" x14ac:dyDescent="0.2">
      <c r="A54" s="66"/>
      <c r="B54" s="54"/>
      <c r="C54" s="54"/>
      <c r="D54" s="55"/>
    </row>
    <row r="55" spans="1:4" x14ac:dyDescent="0.2">
      <c r="A55" s="66"/>
      <c r="B55" s="54"/>
      <c r="C55" s="54"/>
      <c r="D55" s="55"/>
    </row>
    <row r="56" spans="1:4" x14ac:dyDescent="0.2">
      <c r="A56" s="67"/>
      <c r="B56" s="57"/>
      <c r="C56" s="57"/>
      <c r="D56" s="58"/>
    </row>
    <row r="57" spans="1:4" ht="15.75" customHeight="1" x14ac:dyDescent="0.2">
      <c r="A57" s="81" t="s">
        <v>13</v>
      </c>
      <c r="B57" s="81"/>
      <c r="C57" s="59">
        <f>SUM(C40:C56)</f>
        <v>1</v>
      </c>
      <c r="D57" s="60">
        <f>COUNT(C40:C56)</f>
        <v>1</v>
      </c>
    </row>
  </sheetData>
  <mergeCells count="2">
    <mergeCell ref="A36:B36"/>
    <mergeCell ref="A57:B57"/>
  </mergeCells>
  <conditionalFormatting sqref="A5:D35">
    <cfRule type="cellIs" dxfId="15" priority="4" operator="equal">
      <formula>"neděle"</formula>
    </cfRule>
    <cfRule type="cellIs" dxfId="14" priority="5" operator="equal">
      <formula>"sobota"</formula>
    </cfRule>
  </conditionalFormatting>
  <conditionalFormatting sqref="B40">
    <cfRule type="cellIs" dxfId="1" priority="1" operator="equal">
      <formula>"neděle"</formula>
    </cfRule>
    <cfRule type="cellIs" dxfId="0" priority="2" operator="equal">
      <formula>"sobota"</formula>
    </cfRule>
  </conditionalFormatting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Roman,Běžné"&amp;12&amp;A</oddHeader>
    <oddFooter>&amp;C&amp;"Times New Roman,Běžné"&amp;12Stránka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57"/>
  <sheetViews>
    <sheetView zoomScale="75" zoomScaleNormal="75" workbookViewId="0">
      <selection activeCell="N19" sqref="N19"/>
    </sheetView>
  </sheetViews>
  <sheetFormatPr defaultColWidth="9.140625" defaultRowHeight="12.75" x14ac:dyDescent="0.2"/>
  <cols>
    <col min="1" max="1" width="22.140625" style="1" customWidth="1"/>
    <col min="2" max="2" width="11.140625" style="1" customWidth="1"/>
    <col min="3" max="3" width="13.28515625" style="1" customWidth="1"/>
    <col min="4" max="4" width="51.7109375" style="1" customWidth="1"/>
    <col min="5" max="17" width="9.140625" style="1"/>
    <col min="18" max="18" width="17.28515625" style="1" customWidth="1"/>
    <col min="19" max="16384" width="9.140625" style="1"/>
  </cols>
  <sheetData>
    <row r="1" spans="1:18" ht="16.5" x14ac:dyDescent="0.25">
      <c r="A1" s="3" t="s">
        <v>41</v>
      </c>
      <c r="B1" s="3"/>
      <c r="C1" s="4" t="s">
        <v>46</v>
      </c>
      <c r="D1" s="4">
        <v>2024</v>
      </c>
      <c r="R1" s="5">
        <f ca="1">NOW()</f>
        <v>45351.926779861111</v>
      </c>
    </row>
    <row r="2" spans="1:18" ht="6" customHeight="1" x14ac:dyDescent="0.2"/>
    <row r="3" spans="1:18" ht="15" x14ac:dyDescent="0.25">
      <c r="A3" s="7" t="s">
        <v>2</v>
      </c>
    </row>
    <row r="4" spans="1:18" ht="29.25" customHeight="1" x14ac:dyDescent="0.2">
      <c r="A4" s="8" t="s">
        <v>26</v>
      </c>
      <c r="B4" s="49" t="s">
        <v>42</v>
      </c>
      <c r="C4" s="9" t="s">
        <v>6</v>
      </c>
      <c r="D4" s="50" t="s">
        <v>43</v>
      </c>
    </row>
    <row r="5" spans="1:18" x14ac:dyDescent="0.2">
      <c r="A5" s="11">
        <v>45292</v>
      </c>
      <c r="B5" s="12" t="str">
        <f t="shared" ref="B5:B35" si="0">IF(WEEKDAY(A5)=1, "neděle",IF(WEEKDAY(A5)=2,"pondělí",IF(WEEKDAY(A5)=3,"úterý",IF(WEEKDAY(A5)=4,"středa",IF(WEEKDAY(A5)=5,"čtvrtek",IF(WEEKDAY(A5)=6,"pátek","sobota"))))))</f>
        <v>pondělí</v>
      </c>
      <c r="C5" s="51"/>
      <c r="D5" s="52"/>
    </row>
    <row r="6" spans="1:18" x14ac:dyDescent="0.2">
      <c r="A6" s="14">
        <v>45293</v>
      </c>
      <c r="B6" s="53" t="str">
        <f t="shared" si="0"/>
        <v>úterý</v>
      </c>
      <c r="C6" s="54">
        <v>2</v>
      </c>
      <c r="D6" s="55" t="s">
        <v>61</v>
      </c>
    </row>
    <row r="7" spans="1:18" x14ac:dyDescent="0.2">
      <c r="A7" s="11">
        <v>45294</v>
      </c>
      <c r="B7" s="53" t="str">
        <f t="shared" si="0"/>
        <v>středa</v>
      </c>
      <c r="C7" s="54">
        <v>2</v>
      </c>
      <c r="D7" s="55" t="s">
        <v>61</v>
      </c>
    </row>
    <row r="8" spans="1:18" x14ac:dyDescent="0.2">
      <c r="A8" s="14">
        <v>45295</v>
      </c>
      <c r="B8" s="53" t="str">
        <f t="shared" si="0"/>
        <v>čtvrtek</v>
      </c>
      <c r="C8" s="54"/>
      <c r="D8" s="55"/>
    </row>
    <row r="9" spans="1:18" x14ac:dyDescent="0.2">
      <c r="A9" s="11">
        <v>45296</v>
      </c>
      <c r="B9" s="53" t="str">
        <f t="shared" si="0"/>
        <v>pátek</v>
      </c>
      <c r="C9" s="54"/>
      <c r="D9" s="55"/>
    </row>
    <row r="10" spans="1:18" x14ac:dyDescent="0.2">
      <c r="A10" s="14">
        <v>45297</v>
      </c>
      <c r="B10" s="53" t="str">
        <f t="shared" si="0"/>
        <v>sobota</v>
      </c>
      <c r="C10" s="54">
        <v>5</v>
      </c>
      <c r="D10" s="55" t="s">
        <v>61</v>
      </c>
    </row>
    <row r="11" spans="1:18" x14ac:dyDescent="0.2">
      <c r="A11" s="11">
        <v>45298</v>
      </c>
      <c r="B11" s="53" t="str">
        <f t="shared" si="0"/>
        <v>neděle</v>
      </c>
      <c r="C11" s="54"/>
      <c r="D11" s="55"/>
    </row>
    <row r="12" spans="1:18" x14ac:dyDescent="0.2">
      <c r="A12" s="14">
        <v>45299</v>
      </c>
      <c r="B12" s="53" t="str">
        <f t="shared" si="0"/>
        <v>pondělí</v>
      </c>
      <c r="C12" s="54"/>
      <c r="D12" s="55"/>
    </row>
    <row r="13" spans="1:18" x14ac:dyDescent="0.2">
      <c r="A13" s="11">
        <v>45300</v>
      </c>
      <c r="B13" s="53" t="str">
        <f t="shared" si="0"/>
        <v>úterý</v>
      </c>
      <c r="C13" s="54"/>
      <c r="D13" s="55"/>
    </row>
    <row r="14" spans="1:18" x14ac:dyDescent="0.2">
      <c r="A14" s="14">
        <v>45301</v>
      </c>
      <c r="B14" s="53" t="str">
        <f t="shared" si="0"/>
        <v>středa</v>
      </c>
      <c r="C14" s="54"/>
      <c r="D14" s="55"/>
    </row>
    <row r="15" spans="1:18" x14ac:dyDescent="0.2">
      <c r="A15" s="11">
        <v>45302</v>
      </c>
      <c r="B15" s="53" t="str">
        <f t="shared" si="0"/>
        <v>čtvrtek</v>
      </c>
      <c r="C15" s="54"/>
      <c r="D15" s="55"/>
    </row>
    <row r="16" spans="1:18" x14ac:dyDescent="0.2">
      <c r="A16" s="14">
        <v>45303</v>
      </c>
      <c r="B16" s="53" t="str">
        <f t="shared" si="0"/>
        <v>pátek</v>
      </c>
      <c r="C16" s="54"/>
      <c r="D16" s="55"/>
    </row>
    <row r="17" spans="1:4" x14ac:dyDescent="0.2">
      <c r="A17" s="11">
        <v>45304</v>
      </c>
      <c r="B17" s="53" t="str">
        <f t="shared" si="0"/>
        <v>sobota</v>
      </c>
      <c r="C17" s="54">
        <v>5</v>
      </c>
      <c r="D17" s="55" t="s">
        <v>61</v>
      </c>
    </row>
    <row r="18" spans="1:4" x14ac:dyDescent="0.2">
      <c r="A18" s="14">
        <v>45305</v>
      </c>
      <c r="B18" s="53" t="str">
        <f t="shared" si="0"/>
        <v>neděle</v>
      </c>
      <c r="C18" s="54"/>
      <c r="D18" s="55"/>
    </row>
    <row r="19" spans="1:4" x14ac:dyDescent="0.2">
      <c r="A19" s="11">
        <v>45306</v>
      </c>
      <c r="B19" s="53" t="str">
        <f t="shared" si="0"/>
        <v>pondělí</v>
      </c>
      <c r="C19" s="54"/>
      <c r="D19" s="55"/>
    </row>
    <row r="20" spans="1:4" x14ac:dyDescent="0.2">
      <c r="A20" s="14">
        <v>45307</v>
      </c>
      <c r="B20" s="53" t="str">
        <f t="shared" si="0"/>
        <v>úterý</v>
      </c>
      <c r="C20" s="54"/>
      <c r="D20" s="55"/>
    </row>
    <row r="21" spans="1:4" x14ac:dyDescent="0.2">
      <c r="A21" s="11">
        <v>45308</v>
      </c>
      <c r="B21" s="53" t="str">
        <f t="shared" si="0"/>
        <v>středa</v>
      </c>
      <c r="C21" s="54"/>
      <c r="D21" s="55"/>
    </row>
    <row r="22" spans="1:4" x14ac:dyDescent="0.2">
      <c r="A22" s="14">
        <v>45309</v>
      </c>
      <c r="B22" s="53" t="str">
        <f t="shared" si="0"/>
        <v>čtvrtek</v>
      </c>
      <c r="C22" s="54"/>
      <c r="D22" s="55"/>
    </row>
    <row r="23" spans="1:4" x14ac:dyDescent="0.2">
      <c r="A23" s="11">
        <v>45310</v>
      </c>
      <c r="B23" s="53" t="str">
        <f t="shared" si="0"/>
        <v>pátek</v>
      </c>
      <c r="C23" s="54"/>
      <c r="D23" s="55"/>
    </row>
    <row r="24" spans="1:4" x14ac:dyDescent="0.2">
      <c r="A24" s="14">
        <v>45311</v>
      </c>
      <c r="B24" s="53" t="str">
        <f t="shared" si="0"/>
        <v>sobota</v>
      </c>
      <c r="C24" s="54">
        <v>10</v>
      </c>
      <c r="D24" s="55" t="s">
        <v>63</v>
      </c>
    </row>
    <row r="25" spans="1:4" x14ac:dyDescent="0.2">
      <c r="A25" s="11">
        <v>45312</v>
      </c>
      <c r="B25" s="53" t="str">
        <f t="shared" si="0"/>
        <v>neděle</v>
      </c>
      <c r="C25" s="54"/>
      <c r="D25" s="55"/>
    </row>
    <row r="26" spans="1:4" x14ac:dyDescent="0.2">
      <c r="A26" s="14">
        <v>45313</v>
      </c>
      <c r="B26" s="53" t="str">
        <f t="shared" si="0"/>
        <v>pondělí</v>
      </c>
      <c r="C26" s="54"/>
      <c r="D26" s="55"/>
    </row>
    <row r="27" spans="1:4" x14ac:dyDescent="0.2">
      <c r="A27" s="11">
        <v>45314</v>
      </c>
      <c r="B27" s="53" t="str">
        <f t="shared" si="0"/>
        <v>úterý</v>
      </c>
      <c r="C27" s="54">
        <v>1</v>
      </c>
      <c r="D27" s="55" t="s">
        <v>61</v>
      </c>
    </row>
    <row r="28" spans="1:4" x14ac:dyDescent="0.2">
      <c r="A28" s="14">
        <v>45315</v>
      </c>
      <c r="B28" s="53" t="str">
        <f t="shared" si="0"/>
        <v>středa</v>
      </c>
      <c r="C28" s="54">
        <v>1</v>
      </c>
      <c r="D28" s="55" t="s">
        <v>61</v>
      </c>
    </row>
    <row r="29" spans="1:4" x14ac:dyDescent="0.2">
      <c r="A29" s="11">
        <v>45316</v>
      </c>
      <c r="B29" s="53" t="str">
        <f t="shared" si="0"/>
        <v>čtvrtek</v>
      </c>
      <c r="C29" s="54">
        <v>1</v>
      </c>
      <c r="D29" s="55" t="s">
        <v>61</v>
      </c>
    </row>
    <row r="30" spans="1:4" x14ac:dyDescent="0.2">
      <c r="A30" s="14">
        <v>45317</v>
      </c>
      <c r="B30" s="53" t="str">
        <f t="shared" si="0"/>
        <v>pátek</v>
      </c>
      <c r="C30" s="54">
        <v>1</v>
      </c>
      <c r="D30" s="55" t="s">
        <v>61</v>
      </c>
    </row>
    <row r="31" spans="1:4" x14ac:dyDescent="0.2">
      <c r="A31" s="11">
        <v>45318</v>
      </c>
      <c r="B31" s="53" t="str">
        <f t="shared" si="0"/>
        <v>sobota</v>
      </c>
      <c r="C31" s="54">
        <v>1</v>
      </c>
      <c r="D31" s="55" t="s">
        <v>61</v>
      </c>
    </row>
    <row r="32" spans="1:4" x14ac:dyDescent="0.2">
      <c r="A32" s="14">
        <v>45319</v>
      </c>
      <c r="B32" s="53" t="str">
        <f t="shared" si="0"/>
        <v>neděle</v>
      </c>
      <c r="C32" s="54">
        <v>1</v>
      </c>
      <c r="D32" s="55" t="s">
        <v>61</v>
      </c>
    </row>
    <row r="33" spans="1:4" x14ac:dyDescent="0.2">
      <c r="A33" s="11">
        <v>45320</v>
      </c>
      <c r="B33" s="53" t="str">
        <f t="shared" si="0"/>
        <v>pondělí</v>
      </c>
      <c r="C33" s="54"/>
      <c r="D33" s="55"/>
    </row>
    <row r="34" spans="1:4" x14ac:dyDescent="0.2">
      <c r="A34" s="14">
        <v>45321</v>
      </c>
      <c r="B34" s="53" t="str">
        <f t="shared" si="0"/>
        <v>úterý</v>
      </c>
      <c r="C34" s="54"/>
      <c r="D34" s="55"/>
    </row>
    <row r="35" spans="1:4" x14ac:dyDescent="0.2">
      <c r="A35" s="11">
        <v>45322</v>
      </c>
      <c r="B35" s="56" t="str">
        <f t="shared" si="0"/>
        <v>středa</v>
      </c>
      <c r="C35" s="57"/>
      <c r="D35" s="58"/>
    </row>
    <row r="36" spans="1:4" ht="15.75" customHeight="1" x14ac:dyDescent="0.2">
      <c r="A36" s="81" t="s">
        <v>13</v>
      </c>
      <c r="B36" s="81"/>
      <c r="C36" s="59">
        <f>SUM(C5:C35)</f>
        <v>30</v>
      </c>
      <c r="D36" s="60">
        <f>COUNT(C5:C35)</f>
        <v>11</v>
      </c>
    </row>
    <row r="38" spans="1:4" ht="15" x14ac:dyDescent="0.25">
      <c r="A38" s="7" t="s">
        <v>3</v>
      </c>
    </row>
    <row r="39" spans="1:4" x14ac:dyDescent="0.2">
      <c r="A39" s="61" t="s">
        <v>44</v>
      </c>
      <c r="B39" s="62" t="s">
        <v>26</v>
      </c>
      <c r="C39" s="63" t="s">
        <v>45</v>
      </c>
      <c r="D39" s="64"/>
    </row>
    <row r="40" spans="1:4" x14ac:dyDescent="0.2">
      <c r="A40" s="65"/>
      <c r="B40" s="51"/>
      <c r="C40" s="51"/>
      <c r="D40" s="52"/>
    </row>
    <row r="41" spans="1:4" x14ac:dyDescent="0.2">
      <c r="A41" s="66"/>
      <c r="B41" s="54"/>
      <c r="C41" s="54"/>
      <c r="D41" s="55"/>
    </row>
    <row r="42" spans="1:4" x14ac:dyDescent="0.2">
      <c r="A42" s="66"/>
      <c r="B42" s="54"/>
      <c r="C42" s="54"/>
      <c r="D42" s="55"/>
    </row>
    <row r="43" spans="1:4" x14ac:dyDescent="0.2">
      <c r="A43" s="66"/>
      <c r="B43" s="54"/>
      <c r="C43" s="54"/>
      <c r="D43" s="55"/>
    </row>
    <row r="44" spans="1:4" x14ac:dyDescent="0.2">
      <c r="A44" s="66"/>
      <c r="B44" s="54"/>
      <c r="C44" s="54"/>
      <c r="D44" s="55"/>
    </row>
    <row r="45" spans="1:4" x14ac:dyDescent="0.2">
      <c r="A45" s="66"/>
      <c r="B45" s="54"/>
      <c r="C45" s="54"/>
      <c r="D45" s="55"/>
    </row>
    <row r="46" spans="1:4" x14ac:dyDescent="0.2">
      <c r="A46" s="66"/>
      <c r="B46" s="54"/>
      <c r="C46" s="54"/>
      <c r="D46" s="55"/>
    </row>
    <row r="47" spans="1:4" x14ac:dyDescent="0.2">
      <c r="A47" s="66"/>
      <c r="B47" s="54"/>
      <c r="C47" s="54"/>
      <c r="D47" s="55"/>
    </row>
    <row r="48" spans="1:4" x14ac:dyDescent="0.2">
      <c r="A48" s="66"/>
      <c r="B48" s="54"/>
      <c r="C48" s="54"/>
      <c r="D48" s="55"/>
    </row>
    <row r="49" spans="1:4" x14ac:dyDescent="0.2">
      <c r="A49" s="66"/>
      <c r="B49" s="54"/>
      <c r="C49" s="54"/>
      <c r="D49" s="55"/>
    </row>
    <row r="50" spans="1:4" x14ac:dyDescent="0.2">
      <c r="A50" s="66"/>
      <c r="B50" s="54"/>
      <c r="C50" s="54"/>
      <c r="D50" s="55"/>
    </row>
    <row r="51" spans="1:4" x14ac:dyDescent="0.2">
      <c r="A51" s="66"/>
      <c r="B51" s="54"/>
      <c r="C51" s="54"/>
      <c r="D51" s="55"/>
    </row>
    <row r="52" spans="1:4" x14ac:dyDescent="0.2">
      <c r="A52" s="66"/>
      <c r="B52" s="54"/>
      <c r="C52" s="54"/>
      <c r="D52" s="55"/>
    </row>
    <row r="53" spans="1:4" x14ac:dyDescent="0.2">
      <c r="A53" s="66"/>
      <c r="B53" s="54"/>
      <c r="C53" s="54"/>
      <c r="D53" s="55"/>
    </row>
    <row r="54" spans="1:4" x14ac:dyDescent="0.2">
      <c r="A54" s="66"/>
      <c r="B54" s="54"/>
      <c r="C54" s="54"/>
      <c r="D54" s="55"/>
    </row>
    <row r="55" spans="1:4" x14ac:dyDescent="0.2">
      <c r="A55" s="66"/>
      <c r="B55" s="54"/>
      <c r="C55" s="54"/>
      <c r="D55" s="55"/>
    </row>
    <row r="56" spans="1:4" x14ac:dyDescent="0.2">
      <c r="A56" s="67"/>
      <c r="B56" s="57"/>
      <c r="C56" s="57"/>
      <c r="D56" s="58"/>
    </row>
    <row r="57" spans="1:4" ht="15.75" customHeight="1" x14ac:dyDescent="0.2">
      <c r="A57" s="81" t="s">
        <v>13</v>
      </c>
      <c r="B57" s="81"/>
      <c r="C57" s="59">
        <f>SUM(C40:C56)</f>
        <v>0</v>
      </c>
      <c r="D57" s="60">
        <f>COUNT(C40:C56)</f>
        <v>0</v>
      </c>
    </row>
  </sheetData>
  <mergeCells count="2">
    <mergeCell ref="A36:B36"/>
    <mergeCell ref="A57:B57"/>
  </mergeCells>
  <conditionalFormatting sqref="A5:D35">
    <cfRule type="cellIs" dxfId="13" priority="2" operator="equal">
      <formula>"neděle"</formula>
    </cfRule>
    <cfRule type="cellIs" dxfId="12" priority="3" operator="equal">
      <formula>"sobota"</formula>
    </cfRule>
  </conditionalFormatting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Roman,Běžné"&amp;12&amp;A</oddHeader>
    <oddFooter>&amp;C&amp;"Times New Roman,Běžné"&amp;12Stránka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57"/>
  <sheetViews>
    <sheetView zoomScale="75" zoomScaleNormal="75" workbookViewId="0">
      <selection activeCell="A40" sqref="A40"/>
    </sheetView>
  </sheetViews>
  <sheetFormatPr defaultColWidth="9.140625" defaultRowHeight="12.75" x14ac:dyDescent="0.2"/>
  <cols>
    <col min="1" max="1" width="25" style="1" customWidth="1"/>
    <col min="2" max="2" width="11.140625" style="1" customWidth="1"/>
    <col min="3" max="3" width="13.28515625" style="1" customWidth="1"/>
    <col min="4" max="4" width="51.7109375" style="1" customWidth="1"/>
    <col min="5" max="17" width="9.140625" style="1"/>
    <col min="18" max="18" width="17.28515625" style="1" customWidth="1"/>
    <col min="19" max="16384" width="9.140625" style="1"/>
  </cols>
  <sheetData>
    <row r="1" spans="1:18" ht="16.5" x14ac:dyDescent="0.25">
      <c r="A1" s="3" t="s">
        <v>41</v>
      </c>
      <c r="B1" s="3"/>
      <c r="C1" s="4" t="s">
        <v>11</v>
      </c>
      <c r="D1" s="4">
        <v>2024</v>
      </c>
      <c r="R1" s="5">
        <f ca="1">NOW()</f>
        <v>45351.926779861111</v>
      </c>
    </row>
    <row r="2" spans="1:18" ht="6" customHeight="1" x14ac:dyDescent="0.2"/>
    <row r="3" spans="1:18" ht="15" x14ac:dyDescent="0.25">
      <c r="A3" s="7" t="s">
        <v>2</v>
      </c>
    </row>
    <row r="4" spans="1:18" ht="29.25" customHeight="1" x14ac:dyDescent="0.2">
      <c r="A4" s="8" t="s">
        <v>26</v>
      </c>
      <c r="B4" s="49" t="s">
        <v>42</v>
      </c>
      <c r="C4" s="9" t="s">
        <v>6</v>
      </c>
      <c r="D4" s="50" t="s">
        <v>43</v>
      </c>
    </row>
    <row r="5" spans="1:18" x14ac:dyDescent="0.2">
      <c r="A5" s="11">
        <v>45323</v>
      </c>
      <c r="B5" s="12" t="str">
        <f t="shared" ref="B5:B33" si="0">IF(WEEKDAY(A5)=1, "neděle",IF(WEEKDAY(A5)=2,"pondělí",IF(WEEKDAY(A5)=3,"úterý",IF(WEEKDAY(A5)=4,"středa",IF(WEEKDAY(A5)=5,"čtvrtek",IF(WEEKDAY(A5)=6,"pátek","sobota"))))))</f>
        <v>čtvrtek</v>
      </c>
      <c r="C5" s="51"/>
      <c r="D5" s="52"/>
    </row>
    <row r="6" spans="1:18" x14ac:dyDescent="0.2">
      <c r="A6" s="14">
        <v>45324</v>
      </c>
      <c r="B6" s="53" t="str">
        <f t="shared" si="0"/>
        <v>pátek</v>
      </c>
      <c r="C6" s="54"/>
      <c r="D6" s="55"/>
    </row>
    <row r="7" spans="1:18" x14ac:dyDescent="0.2">
      <c r="A7" s="11">
        <v>45325</v>
      </c>
      <c r="B7" s="53" t="str">
        <f t="shared" si="0"/>
        <v>sobota</v>
      </c>
      <c r="C7" s="54"/>
      <c r="D7" s="55"/>
    </row>
    <row r="8" spans="1:18" x14ac:dyDescent="0.2">
      <c r="A8" s="14">
        <v>45326</v>
      </c>
      <c r="B8" s="53" t="str">
        <f t="shared" si="0"/>
        <v>neděle</v>
      </c>
      <c r="C8" s="54">
        <v>1</v>
      </c>
      <c r="D8" s="55" t="s">
        <v>62</v>
      </c>
    </row>
    <row r="9" spans="1:18" x14ac:dyDescent="0.2">
      <c r="A9" s="11">
        <v>45327</v>
      </c>
      <c r="B9" s="53" t="str">
        <f t="shared" si="0"/>
        <v>pondělí</v>
      </c>
      <c r="C9" s="54"/>
      <c r="D9" s="55"/>
    </row>
    <row r="10" spans="1:18" x14ac:dyDescent="0.2">
      <c r="A10" s="14">
        <v>45328</v>
      </c>
      <c r="B10" s="53" t="str">
        <f t="shared" si="0"/>
        <v>úterý</v>
      </c>
      <c r="C10" s="54">
        <v>1</v>
      </c>
      <c r="D10" s="55" t="s">
        <v>62</v>
      </c>
    </row>
    <row r="11" spans="1:18" x14ac:dyDescent="0.2">
      <c r="A11" s="11">
        <v>45329</v>
      </c>
      <c r="B11" s="53" t="str">
        <f t="shared" si="0"/>
        <v>středa</v>
      </c>
      <c r="C11" s="54"/>
      <c r="D11" s="55"/>
    </row>
    <row r="12" spans="1:18" x14ac:dyDescent="0.2">
      <c r="A12" s="14">
        <v>45330</v>
      </c>
      <c r="B12" s="53" t="str">
        <f t="shared" si="0"/>
        <v>čtvrtek</v>
      </c>
      <c r="C12" s="54">
        <v>1</v>
      </c>
      <c r="D12" s="55" t="s">
        <v>62</v>
      </c>
    </row>
    <row r="13" spans="1:18" x14ac:dyDescent="0.2">
      <c r="A13" s="11">
        <v>45331</v>
      </c>
      <c r="B13" s="53" t="str">
        <f t="shared" si="0"/>
        <v>pátek</v>
      </c>
      <c r="C13" s="54"/>
      <c r="D13" s="55"/>
    </row>
    <row r="14" spans="1:18" x14ac:dyDescent="0.2">
      <c r="A14" s="14">
        <v>45332</v>
      </c>
      <c r="B14" s="53" t="str">
        <f t="shared" si="0"/>
        <v>sobota</v>
      </c>
      <c r="C14" s="54"/>
      <c r="D14" s="55"/>
    </row>
    <row r="15" spans="1:18" x14ac:dyDescent="0.2">
      <c r="A15" s="11">
        <v>45333</v>
      </c>
      <c r="B15" s="53" t="str">
        <f t="shared" si="0"/>
        <v>neděle</v>
      </c>
      <c r="C15" s="54"/>
      <c r="D15" s="55"/>
    </row>
    <row r="16" spans="1:18" x14ac:dyDescent="0.2">
      <c r="A16" s="14">
        <v>45334</v>
      </c>
      <c r="B16" s="53" t="str">
        <f t="shared" si="0"/>
        <v>pondělí</v>
      </c>
      <c r="C16" s="54"/>
      <c r="D16" s="55"/>
    </row>
    <row r="17" spans="1:4" x14ac:dyDescent="0.2">
      <c r="A17" s="11">
        <v>45335</v>
      </c>
      <c r="B17" s="53" t="str">
        <f t="shared" si="0"/>
        <v>úterý</v>
      </c>
      <c r="C17" s="54"/>
      <c r="D17" s="55"/>
    </row>
    <row r="18" spans="1:4" x14ac:dyDescent="0.2">
      <c r="A18" s="14">
        <v>45336</v>
      </c>
      <c r="B18" s="53" t="str">
        <f t="shared" si="0"/>
        <v>středa</v>
      </c>
      <c r="C18" s="54"/>
      <c r="D18" s="55"/>
    </row>
    <row r="19" spans="1:4" x14ac:dyDescent="0.2">
      <c r="A19" s="11">
        <v>45337</v>
      </c>
      <c r="B19" s="53" t="str">
        <f t="shared" si="0"/>
        <v>čtvrtek</v>
      </c>
      <c r="C19" s="54"/>
      <c r="D19" s="55"/>
    </row>
    <row r="20" spans="1:4" x14ac:dyDescent="0.2">
      <c r="A20" s="14">
        <v>45338</v>
      </c>
      <c r="B20" s="53" t="str">
        <f t="shared" si="0"/>
        <v>pátek</v>
      </c>
      <c r="C20" s="54">
        <v>2</v>
      </c>
      <c r="D20" s="55" t="s">
        <v>62</v>
      </c>
    </row>
    <row r="21" spans="1:4" x14ac:dyDescent="0.2">
      <c r="A21" s="11">
        <v>45339</v>
      </c>
      <c r="B21" s="53" t="str">
        <f t="shared" si="0"/>
        <v>sobota</v>
      </c>
      <c r="C21" s="54"/>
      <c r="D21" s="55"/>
    </row>
    <row r="22" spans="1:4" x14ac:dyDescent="0.2">
      <c r="A22" s="14">
        <v>45340</v>
      </c>
      <c r="B22" s="53" t="str">
        <f t="shared" si="0"/>
        <v>neděle</v>
      </c>
      <c r="C22" s="54"/>
      <c r="D22" s="55"/>
    </row>
    <row r="23" spans="1:4" x14ac:dyDescent="0.2">
      <c r="A23" s="11">
        <v>45341</v>
      </c>
      <c r="B23" s="53" t="str">
        <f t="shared" si="0"/>
        <v>pondělí</v>
      </c>
      <c r="C23" s="54"/>
      <c r="D23" s="55"/>
    </row>
    <row r="24" spans="1:4" x14ac:dyDescent="0.2">
      <c r="A24" s="14">
        <v>45342</v>
      </c>
      <c r="B24" s="53" t="str">
        <f t="shared" si="0"/>
        <v>úterý</v>
      </c>
      <c r="C24" s="54"/>
      <c r="D24" s="55"/>
    </row>
    <row r="25" spans="1:4" x14ac:dyDescent="0.2">
      <c r="A25" s="11">
        <v>45343</v>
      </c>
      <c r="B25" s="53" t="str">
        <f t="shared" si="0"/>
        <v>středa</v>
      </c>
      <c r="C25" s="54">
        <v>10</v>
      </c>
      <c r="D25" s="55" t="s">
        <v>62</v>
      </c>
    </row>
    <row r="26" spans="1:4" x14ac:dyDescent="0.2">
      <c r="A26" s="14">
        <v>45344</v>
      </c>
      <c r="B26" s="53" t="str">
        <f t="shared" si="0"/>
        <v>čtvrtek</v>
      </c>
      <c r="C26" s="54"/>
      <c r="D26" s="55"/>
    </row>
    <row r="27" spans="1:4" x14ac:dyDescent="0.2">
      <c r="A27" s="11">
        <v>45345</v>
      </c>
      <c r="B27" s="53" t="str">
        <f t="shared" si="0"/>
        <v>pátek</v>
      </c>
      <c r="C27" s="54"/>
      <c r="D27" s="55"/>
    </row>
    <row r="28" spans="1:4" x14ac:dyDescent="0.2">
      <c r="A28" s="14">
        <v>45346</v>
      </c>
      <c r="B28" s="53" t="str">
        <f t="shared" si="0"/>
        <v>sobota</v>
      </c>
      <c r="C28" s="54"/>
      <c r="D28" s="55"/>
    </row>
    <row r="29" spans="1:4" x14ac:dyDescent="0.2">
      <c r="A29" s="11">
        <v>45347</v>
      </c>
      <c r="B29" s="53" t="str">
        <f t="shared" si="0"/>
        <v>neděle</v>
      </c>
      <c r="C29" s="54">
        <v>10</v>
      </c>
      <c r="D29" s="55" t="s">
        <v>63</v>
      </c>
    </row>
    <row r="30" spans="1:4" x14ac:dyDescent="0.2">
      <c r="A30" s="14">
        <v>45348</v>
      </c>
      <c r="B30" s="53" t="str">
        <f t="shared" si="0"/>
        <v>pondělí</v>
      </c>
      <c r="C30" s="54"/>
      <c r="D30" s="55"/>
    </row>
    <row r="31" spans="1:4" x14ac:dyDescent="0.2">
      <c r="A31" s="11">
        <v>45349</v>
      </c>
      <c r="B31" s="53" t="str">
        <f t="shared" si="0"/>
        <v>úterý</v>
      </c>
      <c r="C31" s="54"/>
      <c r="D31" s="55"/>
    </row>
    <row r="32" spans="1:4" x14ac:dyDescent="0.2">
      <c r="A32" s="14">
        <v>45350</v>
      </c>
      <c r="B32" s="56" t="str">
        <f t="shared" si="0"/>
        <v>středa</v>
      </c>
      <c r="C32" s="57"/>
      <c r="D32" s="58"/>
    </row>
    <row r="33" spans="1:4" x14ac:dyDescent="0.2">
      <c r="A33" s="11">
        <v>45351</v>
      </c>
      <c r="B33" s="56" t="str">
        <f t="shared" si="0"/>
        <v>čtvrtek</v>
      </c>
      <c r="C33" s="57"/>
      <c r="D33" s="58"/>
    </row>
    <row r="34" spans="1:4" x14ac:dyDescent="0.2">
      <c r="A34" s="14"/>
      <c r="B34" s="56"/>
      <c r="C34" s="57"/>
      <c r="D34" s="58"/>
    </row>
    <row r="35" spans="1:4" x14ac:dyDescent="0.2">
      <c r="A35" s="14"/>
      <c r="B35" s="56"/>
      <c r="C35" s="57"/>
      <c r="D35" s="58"/>
    </row>
    <row r="36" spans="1:4" ht="15.75" customHeight="1" x14ac:dyDescent="0.2">
      <c r="A36" s="81" t="s">
        <v>13</v>
      </c>
      <c r="B36" s="81"/>
      <c r="C36" s="59">
        <f>SUM(C5:C32)</f>
        <v>25</v>
      </c>
      <c r="D36" s="60">
        <f>COUNT(C5:C32)</f>
        <v>6</v>
      </c>
    </row>
    <row r="38" spans="1:4" ht="15" x14ac:dyDescent="0.25">
      <c r="A38" s="7" t="s">
        <v>3</v>
      </c>
    </row>
    <row r="39" spans="1:4" x14ac:dyDescent="0.2">
      <c r="A39" s="61" t="s">
        <v>44</v>
      </c>
      <c r="B39" s="62" t="s">
        <v>26</v>
      </c>
      <c r="C39" s="63" t="s">
        <v>45</v>
      </c>
      <c r="D39" s="64"/>
    </row>
    <row r="40" spans="1:4" x14ac:dyDescent="0.2">
      <c r="A40" s="65" t="s">
        <v>64</v>
      </c>
      <c r="B40" s="11">
        <v>45345</v>
      </c>
      <c r="C40" s="51">
        <v>1</v>
      </c>
      <c r="D40" s="52" t="s">
        <v>65</v>
      </c>
    </row>
    <row r="41" spans="1:4" x14ac:dyDescent="0.2">
      <c r="A41" s="66"/>
      <c r="B41" s="54"/>
      <c r="C41" s="54"/>
      <c r="D41" s="55"/>
    </row>
    <row r="42" spans="1:4" x14ac:dyDescent="0.2">
      <c r="A42" s="66"/>
      <c r="B42" s="54"/>
      <c r="C42" s="54"/>
      <c r="D42" s="55"/>
    </row>
    <row r="43" spans="1:4" x14ac:dyDescent="0.2">
      <c r="A43" s="66"/>
      <c r="B43" s="54"/>
      <c r="C43" s="54"/>
      <c r="D43" s="55"/>
    </row>
    <row r="44" spans="1:4" x14ac:dyDescent="0.2">
      <c r="A44" s="66"/>
      <c r="B44" s="54"/>
      <c r="C44" s="54"/>
      <c r="D44" s="55"/>
    </row>
    <row r="45" spans="1:4" x14ac:dyDescent="0.2">
      <c r="A45" s="66"/>
      <c r="B45" s="54"/>
      <c r="C45" s="54"/>
      <c r="D45" s="55"/>
    </row>
    <row r="46" spans="1:4" x14ac:dyDescent="0.2">
      <c r="A46" s="66"/>
      <c r="B46" s="54"/>
      <c r="C46" s="54"/>
      <c r="D46" s="55"/>
    </row>
    <row r="47" spans="1:4" x14ac:dyDescent="0.2">
      <c r="A47" s="66"/>
      <c r="B47" s="54"/>
      <c r="C47" s="54"/>
      <c r="D47" s="55"/>
    </row>
    <row r="48" spans="1:4" x14ac:dyDescent="0.2">
      <c r="A48" s="66"/>
      <c r="B48" s="54"/>
      <c r="C48" s="54"/>
      <c r="D48" s="55"/>
    </row>
    <row r="49" spans="1:4" x14ac:dyDescent="0.2">
      <c r="A49" s="66"/>
      <c r="B49" s="54"/>
      <c r="C49" s="54"/>
      <c r="D49" s="55"/>
    </row>
    <row r="50" spans="1:4" x14ac:dyDescent="0.2">
      <c r="A50" s="66"/>
      <c r="B50" s="54"/>
      <c r="C50" s="54"/>
      <c r="D50" s="55"/>
    </row>
    <row r="51" spans="1:4" x14ac:dyDescent="0.2">
      <c r="A51" s="66"/>
      <c r="B51" s="54"/>
      <c r="C51" s="54"/>
      <c r="D51" s="55"/>
    </row>
    <row r="52" spans="1:4" x14ac:dyDescent="0.2">
      <c r="A52" s="66"/>
      <c r="B52" s="54"/>
      <c r="C52" s="54"/>
      <c r="D52" s="55"/>
    </row>
    <row r="53" spans="1:4" x14ac:dyDescent="0.2">
      <c r="A53" s="66"/>
      <c r="B53" s="54"/>
      <c r="C53" s="54"/>
      <c r="D53" s="55"/>
    </row>
    <row r="54" spans="1:4" x14ac:dyDescent="0.2">
      <c r="A54" s="66"/>
      <c r="B54" s="54"/>
      <c r="C54" s="54"/>
      <c r="D54" s="55"/>
    </row>
    <row r="55" spans="1:4" x14ac:dyDescent="0.2">
      <c r="A55" s="66"/>
      <c r="B55" s="54"/>
      <c r="C55" s="54"/>
      <c r="D55" s="55"/>
    </row>
    <row r="56" spans="1:4" x14ac:dyDescent="0.2">
      <c r="A56" s="67"/>
      <c r="B56" s="57"/>
      <c r="C56" s="57"/>
      <c r="D56" s="58"/>
    </row>
    <row r="57" spans="1:4" ht="15.75" customHeight="1" x14ac:dyDescent="0.2">
      <c r="A57" s="81" t="s">
        <v>13</v>
      </c>
      <c r="B57" s="81"/>
      <c r="C57" s="59">
        <f>SUM(C40:C56)</f>
        <v>1</v>
      </c>
      <c r="D57" s="60">
        <f>COUNT(C40:C56)</f>
        <v>1</v>
      </c>
    </row>
  </sheetData>
  <mergeCells count="2">
    <mergeCell ref="A36:B36"/>
    <mergeCell ref="A57:B57"/>
  </mergeCells>
  <conditionalFormatting sqref="A5:D35">
    <cfRule type="cellIs" dxfId="11" priority="4" operator="equal">
      <formula>"neděle"</formula>
    </cfRule>
    <cfRule type="cellIs" dxfId="10" priority="5" operator="equal">
      <formula>"sobota"</formula>
    </cfRule>
  </conditionalFormatting>
  <conditionalFormatting sqref="B40">
    <cfRule type="cellIs" dxfId="5" priority="1" operator="equal">
      <formula>"neděle"</formula>
    </cfRule>
    <cfRule type="cellIs" dxfId="4" priority="2" operator="equal">
      <formula>"sobota"</formula>
    </cfRule>
  </conditionalFormatting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Roman,Běžné"&amp;12&amp;A</oddHeader>
    <oddFooter>&amp;C&amp;"Times New Roman,Běžné"&amp;12Stránka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57"/>
  <sheetViews>
    <sheetView zoomScale="75" zoomScaleNormal="75" workbookViewId="0">
      <selection activeCell="J11" sqref="J11"/>
    </sheetView>
  </sheetViews>
  <sheetFormatPr defaultColWidth="9.140625" defaultRowHeight="12.75" x14ac:dyDescent="0.2"/>
  <cols>
    <col min="1" max="1" width="22.140625" style="1" customWidth="1"/>
    <col min="2" max="2" width="11.140625" style="1" customWidth="1"/>
    <col min="3" max="3" width="13.28515625" style="1" customWidth="1"/>
    <col min="4" max="4" width="51.7109375" style="1" customWidth="1"/>
    <col min="5" max="17" width="9.140625" style="1"/>
    <col min="18" max="18" width="17.28515625" style="1" customWidth="1"/>
    <col min="19" max="16384" width="9.140625" style="1"/>
  </cols>
  <sheetData>
    <row r="1" spans="1:18" ht="16.5" x14ac:dyDescent="0.25">
      <c r="A1" s="3" t="s">
        <v>41</v>
      </c>
      <c r="B1" s="3"/>
      <c r="C1" s="4" t="s">
        <v>12</v>
      </c>
      <c r="D1" s="4">
        <v>2024</v>
      </c>
      <c r="R1" s="5">
        <f ca="1">NOW()</f>
        <v>45351.926779861111</v>
      </c>
    </row>
    <row r="2" spans="1:18" ht="6" customHeight="1" x14ac:dyDescent="0.2"/>
    <row r="3" spans="1:18" ht="15" x14ac:dyDescent="0.25">
      <c r="A3" s="7" t="s">
        <v>2</v>
      </c>
    </row>
    <row r="4" spans="1:18" ht="29.25" customHeight="1" x14ac:dyDescent="0.2">
      <c r="A4" s="8" t="s">
        <v>26</v>
      </c>
      <c r="B4" s="49" t="s">
        <v>42</v>
      </c>
      <c r="C4" s="9" t="s">
        <v>6</v>
      </c>
      <c r="D4" s="50" t="s">
        <v>43</v>
      </c>
    </row>
    <row r="5" spans="1:18" x14ac:dyDescent="0.2">
      <c r="A5" s="11">
        <v>45352</v>
      </c>
      <c r="B5" s="12" t="str">
        <f t="shared" ref="B5" si="0">IF(WEEKDAY(A5)=1, "neděle",IF(WEEKDAY(A5)=2,"pondělí",IF(WEEKDAY(A5)=3,"úterý",IF(WEEKDAY(A5)=4,"středa",IF(WEEKDAY(A5)=5,"čtvrtek",IF(WEEKDAY(A5)=6,"pátek","sobota"))))))</f>
        <v>pátek</v>
      </c>
      <c r="C5" s="51"/>
      <c r="D5" s="52"/>
    </row>
    <row r="6" spans="1:18" x14ac:dyDescent="0.2">
      <c r="A6" s="14"/>
      <c r="B6" s="53"/>
      <c r="C6" s="54"/>
      <c r="D6" s="55"/>
    </row>
    <row r="7" spans="1:18" x14ac:dyDescent="0.2">
      <c r="A7" s="11"/>
      <c r="B7" s="53"/>
      <c r="C7" s="54"/>
      <c r="D7" s="55"/>
    </row>
    <row r="8" spans="1:18" x14ac:dyDescent="0.2">
      <c r="A8" s="14"/>
      <c r="B8" s="53"/>
      <c r="C8" s="54"/>
      <c r="D8" s="55"/>
    </row>
    <row r="9" spans="1:18" x14ac:dyDescent="0.2">
      <c r="A9" s="11"/>
      <c r="B9" s="53"/>
      <c r="C9" s="54"/>
      <c r="D9" s="55"/>
    </row>
    <row r="10" spans="1:18" x14ac:dyDescent="0.2">
      <c r="A10" s="14"/>
      <c r="B10" s="53"/>
      <c r="C10" s="54"/>
      <c r="D10" s="55"/>
    </row>
    <row r="11" spans="1:18" x14ac:dyDescent="0.2">
      <c r="A11" s="11"/>
      <c r="B11" s="53"/>
      <c r="C11" s="54"/>
      <c r="D11" s="55"/>
    </row>
    <row r="12" spans="1:18" x14ac:dyDescent="0.2">
      <c r="A12" s="14"/>
      <c r="B12" s="53"/>
      <c r="C12" s="54"/>
      <c r="D12" s="55"/>
    </row>
    <row r="13" spans="1:18" x14ac:dyDescent="0.2">
      <c r="A13" s="11"/>
      <c r="B13" s="53"/>
      <c r="C13" s="54"/>
      <c r="D13" s="55"/>
    </row>
    <row r="14" spans="1:18" x14ac:dyDescent="0.2">
      <c r="A14" s="14"/>
      <c r="B14" s="53"/>
      <c r="C14" s="54"/>
      <c r="D14" s="55"/>
    </row>
    <row r="15" spans="1:18" x14ac:dyDescent="0.2">
      <c r="A15" s="11"/>
      <c r="B15" s="53"/>
      <c r="C15" s="54"/>
      <c r="D15" s="55"/>
    </row>
    <row r="16" spans="1:18" x14ac:dyDescent="0.2">
      <c r="A16" s="14"/>
      <c r="B16" s="53"/>
      <c r="C16" s="54"/>
      <c r="D16" s="55"/>
    </row>
    <row r="17" spans="1:4" x14ac:dyDescent="0.2">
      <c r="A17" s="11"/>
      <c r="B17" s="53"/>
      <c r="C17" s="54"/>
      <c r="D17" s="55"/>
    </row>
    <row r="18" spans="1:4" x14ac:dyDescent="0.2">
      <c r="A18" s="14"/>
      <c r="B18" s="53"/>
      <c r="C18" s="54"/>
      <c r="D18" s="55"/>
    </row>
    <row r="19" spans="1:4" x14ac:dyDescent="0.2">
      <c r="A19" s="11"/>
      <c r="B19" s="53"/>
      <c r="C19" s="54"/>
      <c r="D19" s="55"/>
    </row>
    <row r="20" spans="1:4" x14ac:dyDescent="0.2">
      <c r="A20" s="14"/>
      <c r="B20" s="53"/>
      <c r="C20" s="54"/>
      <c r="D20" s="55"/>
    </row>
    <row r="21" spans="1:4" x14ac:dyDescent="0.2">
      <c r="A21" s="11"/>
      <c r="B21" s="53"/>
      <c r="C21" s="54"/>
      <c r="D21" s="55"/>
    </row>
    <row r="22" spans="1:4" x14ac:dyDescent="0.2">
      <c r="A22" s="14"/>
      <c r="B22" s="53"/>
      <c r="C22" s="54"/>
      <c r="D22" s="55"/>
    </row>
    <row r="23" spans="1:4" x14ac:dyDescent="0.2">
      <c r="A23" s="11"/>
      <c r="B23" s="53"/>
      <c r="C23" s="54"/>
      <c r="D23" s="55"/>
    </row>
    <row r="24" spans="1:4" x14ac:dyDescent="0.2">
      <c r="A24" s="14"/>
      <c r="B24" s="53"/>
      <c r="C24" s="54"/>
      <c r="D24" s="55"/>
    </row>
    <row r="25" spans="1:4" x14ac:dyDescent="0.2">
      <c r="A25" s="11"/>
      <c r="B25" s="53"/>
      <c r="C25" s="54"/>
      <c r="D25" s="55"/>
    </row>
    <row r="26" spans="1:4" x14ac:dyDescent="0.2">
      <c r="A26" s="14"/>
      <c r="B26" s="53"/>
      <c r="C26" s="54"/>
      <c r="D26" s="55"/>
    </row>
    <row r="27" spans="1:4" x14ac:dyDescent="0.2">
      <c r="A27" s="11"/>
      <c r="B27" s="53"/>
      <c r="C27" s="54"/>
      <c r="D27" s="55"/>
    </row>
    <row r="28" spans="1:4" x14ac:dyDescent="0.2">
      <c r="A28" s="14"/>
      <c r="B28" s="53"/>
      <c r="C28" s="54"/>
      <c r="D28" s="55"/>
    </row>
    <row r="29" spans="1:4" x14ac:dyDescent="0.2">
      <c r="A29" s="11"/>
      <c r="B29" s="53"/>
      <c r="C29" s="54"/>
      <c r="D29" s="55"/>
    </row>
    <row r="30" spans="1:4" x14ac:dyDescent="0.2">
      <c r="A30" s="14"/>
      <c r="B30" s="53"/>
      <c r="C30" s="54"/>
      <c r="D30" s="55"/>
    </row>
    <row r="31" spans="1:4" x14ac:dyDescent="0.2">
      <c r="A31" s="11"/>
      <c r="B31" s="53"/>
      <c r="C31" s="54"/>
      <c r="D31" s="55"/>
    </row>
    <row r="32" spans="1:4" x14ac:dyDescent="0.2">
      <c r="A32" s="14"/>
      <c r="B32" s="53"/>
      <c r="C32" s="54"/>
      <c r="D32" s="55"/>
    </row>
    <row r="33" spans="1:4" x14ac:dyDescent="0.2">
      <c r="A33" s="11"/>
      <c r="B33" s="53"/>
      <c r="C33" s="54"/>
      <c r="D33" s="55"/>
    </row>
    <row r="34" spans="1:4" x14ac:dyDescent="0.2">
      <c r="A34" s="14"/>
      <c r="B34" s="53"/>
      <c r="C34" s="54"/>
      <c r="D34" s="55"/>
    </row>
    <row r="35" spans="1:4" x14ac:dyDescent="0.2">
      <c r="A35" s="11"/>
      <c r="B35" s="56"/>
      <c r="C35" s="57"/>
      <c r="D35" s="58"/>
    </row>
    <row r="36" spans="1:4" ht="15.75" customHeight="1" x14ac:dyDescent="0.2">
      <c r="A36" s="81" t="s">
        <v>13</v>
      </c>
      <c r="B36" s="81"/>
      <c r="C36" s="59">
        <f>SUM(C5:C35)</f>
        <v>0</v>
      </c>
      <c r="D36" s="60">
        <f>COUNT(C5:C35)</f>
        <v>0</v>
      </c>
    </row>
    <row r="38" spans="1:4" ht="15" x14ac:dyDescent="0.25">
      <c r="A38" s="7" t="s">
        <v>3</v>
      </c>
    </row>
    <row r="39" spans="1:4" x14ac:dyDescent="0.2">
      <c r="A39" s="61" t="s">
        <v>44</v>
      </c>
      <c r="B39" s="62" t="s">
        <v>26</v>
      </c>
      <c r="C39" s="63" t="s">
        <v>45</v>
      </c>
      <c r="D39" s="64"/>
    </row>
    <row r="40" spans="1:4" x14ac:dyDescent="0.2">
      <c r="A40" s="65"/>
      <c r="B40" s="51"/>
      <c r="C40" s="51"/>
      <c r="D40" s="52"/>
    </row>
    <row r="41" spans="1:4" x14ac:dyDescent="0.2">
      <c r="A41" s="66"/>
      <c r="B41" s="54"/>
      <c r="C41" s="54"/>
      <c r="D41" s="55"/>
    </row>
    <row r="42" spans="1:4" x14ac:dyDescent="0.2">
      <c r="A42" s="66"/>
      <c r="B42" s="54"/>
      <c r="C42" s="54"/>
      <c r="D42" s="55"/>
    </row>
    <row r="43" spans="1:4" x14ac:dyDescent="0.2">
      <c r="A43" s="66"/>
      <c r="B43" s="54"/>
      <c r="C43" s="54"/>
      <c r="D43" s="55"/>
    </row>
    <row r="44" spans="1:4" x14ac:dyDescent="0.2">
      <c r="A44" s="66"/>
      <c r="B44" s="54"/>
      <c r="C44" s="54"/>
      <c r="D44" s="55"/>
    </row>
    <row r="45" spans="1:4" x14ac:dyDescent="0.2">
      <c r="A45" s="66"/>
      <c r="B45" s="54"/>
      <c r="C45" s="54"/>
      <c r="D45" s="55"/>
    </row>
    <row r="46" spans="1:4" x14ac:dyDescent="0.2">
      <c r="A46" s="66"/>
      <c r="B46" s="54"/>
      <c r="C46" s="54"/>
      <c r="D46" s="55"/>
    </row>
    <row r="47" spans="1:4" x14ac:dyDescent="0.2">
      <c r="A47" s="66"/>
      <c r="B47" s="54"/>
      <c r="C47" s="54"/>
      <c r="D47" s="55"/>
    </row>
    <row r="48" spans="1:4" x14ac:dyDescent="0.2">
      <c r="A48" s="66"/>
      <c r="B48" s="54"/>
      <c r="C48" s="54"/>
      <c r="D48" s="55"/>
    </row>
    <row r="49" spans="1:4" x14ac:dyDescent="0.2">
      <c r="A49" s="66"/>
      <c r="B49" s="54"/>
      <c r="C49" s="54"/>
      <c r="D49" s="55"/>
    </row>
    <row r="50" spans="1:4" x14ac:dyDescent="0.2">
      <c r="A50" s="66"/>
      <c r="B50" s="54"/>
      <c r="C50" s="54"/>
      <c r="D50" s="55"/>
    </row>
    <row r="51" spans="1:4" x14ac:dyDescent="0.2">
      <c r="A51" s="66"/>
      <c r="B51" s="54"/>
      <c r="C51" s="54"/>
      <c r="D51" s="55"/>
    </row>
    <row r="52" spans="1:4" x14ac:dyDescent="0.2">
      <c r="A52" s="66"/>
      <c r="B52" s="54"/>
      <c r="C52" s="54"/>
      <c r="D52" s="55"/>
    </row>
    <row r="53" spans="1:4" x14ac:dyDescent="0.2">
      <c r="A53" s="66"/>
      <c r="B53" s="54"/>
      <c r="C53" s="54"/>
      <c r="D53" s="55"/>
    </row>
    <row r="54" spans="1:4" x14ac:dyDescent="0.2">
      <c r="A54" s="66"/>
      <c r="B54" s="54"/>
      <c r="C54" s="54"/>
      <c r="D54" s="55"/>
    </row>
    <row r="55" spans="1:4" x14ac:dyDescent="0.2">
      <c r="A55" s="66"/>
      <c r="B55" s="54"/>
      <c r="C55" s="54"/>
      <c r="D55" s="55"/>
    </row>
    <row r="56" spans="1:4" x14ac:dyDescent="0.2">
      <c r="A56" s="67"/>
      <c r="B56" s="57"/>
      <c r="C56" s="57"/>
      <c r="D56" s="58"/>
    </row>
    <row r="57" spans="1:4" ht="15.75" customHeight="1" x14ac:dyDescent="0.2">
      <c r="A57" s="81" t="s">
        <v>13</v>
      </c>
      <c r="B57" s="81"/>
      <c r="C57" s="59">
        <f>SUM(C40:C56)</f>
        <v>0</v>
      </c>
      <c r="D57" s="60">
        <f>COUNT(C40:C56)</f>
        <v>0</v>
      </c>
    </row>
  </sheetData>
  <mergeCells count="2">
    <mergeCell ref="A36:B36"/>
    <mergeCell ref="A57:B57"/>
  </mergeCells>
  <conditionalFormatting sqref="A5:D35">
    <cfRule type="cellIs" dxfId="9" priority="2" operator="equal">
      <formula>"neděle"</formula>
    </cfRule>
    <cfRule type="cellIs" dxfId="8" priority="3" operator="equal">
      <formula>"sobota"</formula>
    </cfRule>
  </conditionalFormatting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Roman,Běžné"&amp;12&amp;A</oddHeader>
    <oddFooter>&amp;C&amp;"Times New Roman,Běžné"&amp;12Stránka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42</TotalTime>
  <Application>Microsoft Excel</Application>
  <DocSecurity>0</DocSecurity>
  <ScaleCrop>false</ScaleCrop>
  <HeadingPairs>
    <vt:vector size="2" baseType="variant">
      <vt:variant>
        <vt:lpstr>Listy</vt:lpstr>
      </vt:variant>
      <vt:variant>
        <vt:i4>8</vt:i4>
      </vt:variant>
    </vt:vector>
  </HeadingPairs>
  <TitlesOfParts>
    <vt:vector size="8" baseType="lpstr">
      <vt:lpstr>souhrn</vt:lpstr>
      <vt:lpstr>náklady – materiál</vt:lpstr>
      <vt:lpstr>říjen</vt:lpstr>
      <vt:lpstr>listopad</vt:lpstr>
      <vt:lpstr>prosinec</vt:lpstr>
      <vt:lpstr>leden</vt:lpstr>
      <vt:lpstr>únor</vt:lpstr>
      <vt:lpstr>březen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 Augusta</dc:creator>
  <cp:lastModifiedBy>Ivan Hvězda</cp:lastModifiedBy>
  <cp:revision>6</cp:revision>
  <dcterms:created xsi:type="dcterms:W3CDTF">2022-10-01T20:06:48Z</dcterms:created>
  <dcterms:modified xsi:type="dcterms:W3CDTF">2024-02-29T21:15:43Z</dcterms:modified>
  <dc:language>cs-CZ</dc:language>
</cp:coreProperties>
</file>